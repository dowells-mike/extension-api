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Downloads\"/>
    </mc:Choice>
  </mc:AlternateContent>
  <xr:revisionPtr revIDLastSave="0" documentId="13_ncr:1_{15C77C68-8E21-4D27-A50E-4B85387A9B6D}" xr6:coauthVersionLast="36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svratings" sheetId="1" r:id="rId1"/>
    <sheet name="releases" sheetId="3" r:id="rId2"/>
    <sheet name="queue" sheetId="4" r:id="rId3"/>
  </sheets>
  <definedNames>
    <definedName name="_xlnm._FilterDatabase" localSheetId="0" hidden="1">csvratings!$A$1:$R$189</definedName>
  </definedNames>
  <calcPr calcId="191028"/>
</workbook>
</file>

<file path=xl/calcChain.xml><?xml version="1.0" encoding="utf-8"?>
<calcChain xmlns="http://schemas.openxmlformats.org/spreadsheetml/2006/main">
  <c r="A29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" i="3"/>
  <c r="I189" i="1" l="1"/>
  <c r="L189" i="1" s="1"/>
  <c r="I188" i="1"/>
  <c r="L188" i="1" s="1"/>
  <c r="I187" i="1"/>
  <c r="L187" i="1" s="1"/>
  <c r="I186" i="1"/>
  <c r="L186" i="1" s="1"/>
  <c r="I185" i="1"/>
  <c r="L185" i="1" s="1"/>
  <c r="I184" i="1"/>
  <c r="L184" i="1" s="1"/>
  <c r="I183" i="1"/>
  <c r="L183" i="1" s="1"/>
  <c r="B2" i="4"/>
  <c r="B3" i="4"/>
  <c r="B4" i="4"/>
  <c r="B5" i="4"/>
  <c r="B6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I182" i="1"/>
  <c r="L182" i="1" s="1"/>
  <c r="B7" i="4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G2" i="3"/>
  <c r="F2" i="3"/>
  <c r="E2" i="3"/>
  <c r="H2" i="3"/>
  <c r="J182" i="1" l="1"/>
  <c r="J183" i="1"/>
  <c r="J184" i="1"/>
  <c r="J185" i="1"/>
  <c r="J186" i="1"/>
  <c r="J187" i="1"/>
  <c r="J188" i="1"/>
  <c r="J189" i="1"/>
  <c r="I71" i="1"/>
  <c r="L71" i="1" s="1"/>
  <c r="J71" i="1"/>
  <c r="I160" i="1"/>
  <c r="L160" i="1" s="1"/>
  <c r="J160" i="1"/>
  <c r="I56" i="1"/>
  <c r="J56" i="1"/>
  <c r="I79" i="1"/>
  <c r="L79" i="1" s="1"/>
  <c r="J79" i="1"/>
  <c r="L56" i="1" l="1"/>
  <c r="I149" i="1"/>
  <c r="L149" i="1" s="1"/>
  <c r="J149" i="1"/>
  <c r="I29" i="1"/>
  <c r="L29" i="1" s="1"/>
  <c r="J29" i="1"/>
  <c r="I108" i="1"/>
  <c r="L108" i="1" s="1"/>
  <c r="I10" i="1"/>
  <c r="I131" i="1"/>
  <c r="L131" i="1" s="1"/>
  <c r="I75" i="1"/>
  <c r="L75" i="1" s="1"/>
  <c r="I141" i="1"/>
  <c r="L141" i="1" s="1"/>
  <c r="I31" i="1"/>
  <c r="L31" i="1" s="1"/>
  <c r="I139" i="1"/>
  <c r="L139" i="1" s="1"/>
  <c r="I155" i="1"/>
  <c r="I159" i="1"/>
  <c r="I152" i="1"/>
  <c r="I145" i="1"/>
  <c r="L145" i="1" s="1"/>
  <c r="I124" i="1"/>
  <c r="L124" i="1" s="1"/>
  <c r="I2" i="1"/>
  <c r="I158" i="1"/>
  <c r="L158" i="1" s="1"/>
  <c r="I12" i="1"/>
  <c r="L12" i="1" s="1"/>
  <c r="I181" i="1"/>
  <c r="L181" i="1" s="1"/>
  <c r="I180" i="1"/>
  <c r="I179" i="1"/>
  <c r="L179" i="1" s="1"/>
  <c r="I178" i="1"/>
  <c r="L178" i="1" s="1"/>
  <c r="I177" i="1"/>
  <c r="L177" i="1" s="1"/>
  <c r="I176" i="1"/>
  <c r="I175" i="1"/>
  <c r="L175" i="1" s="1"/>
  <c r="I174" i="1"/>
  <c r="L174" i="1" s="1"/>
  <c r="I173" i="1"/>
  <c r="L173" i="1" s="1"/>
  <c r="I172" i="1"/>
  <c r="I171" i="1"/>
  <c r="L171" i="1" s="1"/>
  <c r="I170" i="1"/>
  <c r="L170" i="1" s="1"/>
  <c r="I169" i="1"/>
  <c r="L169" i="1" s="1"/>
  <c r="I168" i="1"/>
  <c r="I167" i="1"/>
  <c r="L167" i="1" s="1"/>
  <c r="I166" i="1"/>
  <c r="L166" i="1" s="1"/>
  <c r="I165" i="1"/>
  <c r="I164" i="1"/>
  <c r="I163" i="1"/>
  <c r="L163" i="1" s="1"/>
  <c r="I162" i="1"/>
  <c r="L162" i="1" s="1"/>
  <c r="I161" i="1"/>
  <c r="L161" i="1" s="1"/>
  <c r="I157" i="1"/>
  <c r="I156" i="1"/>
  <c r="L156" i="1" s="1"/>
  <c r="I153" i="1"/>
  <c r="L153" i="1" s="1"/>
  <c r="I151" i="1"/>
  <c r="I150" i="1"/>
  <c r="I4" i="1"/>
  <c r="L4" i="1" s="1"/>
  <c r="I148" i="1"/>
  <c r="L148" i="1" s="1"/>
  <c r="I147" i="1"/>
  <c r="L147" i="1" s="1"/>
  <c r="I146" i="1"/>
  <c r="I144" i="1"/>
  <c r="L144" i="1" s="1"/>
  <c r="I143" i="1"/>
  <c r="L143" i="1" s="1"/>
  <c r="I142" i="1"/>
  <c r="I140" i="1"/>
  <c r="L140" i="1" s="1"/>
  <c r="I138" i="1"/>
  <c r="L138" i="1" s="1"/>
  <c r="I137" i="1"/>
  <c r="I136" i="1"/>
  <c r="I135" i="1"/>
  <c r="L135" i="1" s="1"/>
  <c r="I134" i="1"/>
  <c r="L134" i="1" s="1"/>
  <c r="I133" i="1"/>
  <c r="L133" i="1" s="1"/>
  <c r="I132" i="1"/>
  <c r="I130" i="1"/>
  <c r="L130" i="1" s="1"/>
  <c r="I129" i="1"/>
  <c r="L129" i="1" s="1"/>
  <c r="I128" i="1"/>
  <c r="L128" i="1" s="1"/>
  <c r="I127" i="1"/>
  <c r="I126" i="1"/>
  <c r="I125" i="1"/>
  <c r="L125" i="1" s="1"/>
  <c r="I123" i="1"/>
  <c r="L123" i="1" s="1"/>
  <c r="I122" i="1"/>
  <c r="I121" i="1"/>
  <c r="L121" i="1" s="1"/>
  <c r="I120" i="1"/>
  <c r="L120" i="1" s="1"/>
  <c r="I119" i="1"/>
  <c r="L119" i="1" s="1"/>
  <c r="I118" i="1"/>
  <c r="I117" i="1"/>
  <c r="L117" i="1" s="1"/>
  <c r="I116" i="1"/>
  <c r="L116" i="1" s="1"/>
  <c r="I115" i="1"/>
  <c r="L115" i="1" s="1"/>
  <c r="I114" i="1"/>
  <c r="I113" i="1"/>
  <c r="L113" i="1" s="1"/>
  <c r="I112" i="1"/>
  <c r="I111" i="1"/>
  <c r="I110" i="1"/>
  <c r="I109" i="1"/>
  <c r="L109" i="1" s="1"/>
  <c r="I107" i="1"/>
  <c r="L107" i="1" s="1"/>
  <c r="I106" i="1"/>
  <c r="L106" i="1" s="1"/>
  <c r="I105" i="1"/>
  <c r="I104" i="1"/>
  <c r="I103" i="1"/>
  <c r="L103" i="1" s="1"/>
  <c r="I102" i="1"/>
  <c r="I101" i="1"/>
  <c r="I100" i="1"/>
  <c r="L100" i="1" s="1"/>
  <c r="I99" i="1"/>
  <c r="L99" i="1" s="1"/>
  <c r="I98" i="1"/>
  <c r="L98" i="1" s="1"/>
  <c r="I97" i="1"/>
  <c r="I96" i="1"/>
  <c r="L96" i="1" s="1"/>
  <c r="I95" i="1"/>
  <c r="L95" i="1" s="1"/>
  <c r="I94" i="1"/>
  <c r="L94" i="1" s="1"/>
  <c r="I93" i="1"/>
  <c r="I92" i="1"/>
  <c r="L92" i="1" s="1"/>
  <c r="I91" i="1"/>
  <c r="L91" i="1" s="1"/>
  <c r="I90" i="1"/>
  <c r="L90" i="1" s="1"/>
  <c r="I89" i="1"/>
  <c r="I88" i="1"/>
  <c r="I87" i="1"/>
  <c r="L87" i="1" s="1"/>
  <c r="I86" i="1"/>
  <c r="I85" i="1"/>
  <c r="I84" i="1"/>
  <c r="L84" i="1" s="1"/>
  <c r="I83" i="1"/>
  <c r="L83" i="1" s="1"/>
  <c r="I82" i="1"/>
  <c r="L82" i="1" s="1"/>
  <c r="I81" i="1"/>
  <c r="I80" i="1"/>
  <c r="L80" i="1" s="1"/>
  <c r="I78" i="1"/>
  <c r="L78" i="1" s="1"/>
  <c r="I77" i="1"/>
  <c r="L77" i="1" s="1"/>
  <c r="I76" i="1"/>
  <c r="I74" i="1"/>
  <c r="L74" i="1" s="1"/>
  <c r="I73" i="1"/>
  <c r="L73" i="1" s="1"/>
  <c r="I72" i="1"/>
  <c r="I70" i="1"/>
  <c r="L70" i="1" s="1"/>
  <c r="I69" i="1"/>
  <c r="L69" i="1" s="1"/>
  <c r="I68" i="1"/>
  <c r="I67" i="1"/>
  <c r="I66" i="1"/>
  <c r="L66" i="1" s="1"/>
  <c r="I65" i="1"/>
  <c r="L65" i="1" s="1"/>
  <c r="I64" i="1"/>
  <c r="L64" i="1" s="1"/>
  <c r="I63" i="1"/>
  <c r="I62" i="1"/>
  <c r="L62" i="1" s="1"/>
  <c r="I61" i="1"/>
  <c r="L61" i="1" s="1"/>
  <c r="I60" i="1"/>
  <c r="L60" i="1" s="1"/>
  <c r="I59" i="1"/>
  <c r="I58" i="1"/>
  <c r="L58" i="1" s="1"/>
  <c r="I57" i="1"/>
  <c r="L57" i="1" s="1"/>
  <c r="I55" i="1"/>
  <c r="I54" i="1"/>
  <c r="I53" i="1"/>
  <c r="L53" i="1" s="1"/>
  <c r="I52" i="1"/>
  <c r="L52" i="1" s="1"/>
  <c r="I51" i="1"/>
  <c r="I50" i="1"/>
  <c r="I49" i="1"/>
  <c r="L49" i="1" s="1"/>
  <c r="I48" i="1"/>
  <c r="L48" i="1" s="1"/>
  <c r="I47" i="1"/>
  <c r="L47" i="1" s="1"/>
  <c r="I46" i="1"/>
  <c r="I45" i="1"/>
  <c r="L45" i="1" s="1"/>
  <c r="I44" i="1"/>
  <c r="L44" i="1" s="1"/>
  <c r="I43" i="1"/>
  <c r="L43" i="1" s="1"/>
  <c r="I42" i="1"/>
  <c r="I41" i="1"/>
  <c r="L41" i="1" s="1"/>
  <c r="I40" i="1"/>
  <c r="L40" i="1" s="1"/>
  <c r="I39" i="1"/>
  <c r="L39" i="1" s="1"/>
  <c r="I38" i="1"/>
  <c r="I37" i="1"/>
  <c r="L37" i="1" s="1"/>
  <c r="I36" i="1"/>
  <c r="L36" i="1" s="1"/>
  <c r="I35" i="1"/>
  <c r="L35" i="1" s="1"/>
  <c r="I34" i="1"/>
  <c r="I33" i="1"/>
  <c r="L33" i="1" s="1"/>
  <c r="I32" i="1"/>
  <c r="L32" i="1" s="1"/>
  <c r="I30" i="1"/>
  <c r="L30" i="1" s="1"/>
  <c r="I28" i="1"/>
  <c r="I27" i="1"/>
  <c r="L27" i="1" s="1"/>
  <c r="I26" i="1"/>
  <c r="L26" i="1" s="1"/>
  <c r="I25" i="1"/>
  <c r="I24" i="1"/>
  <c r="I23" i="1"/>
  <c r="L23" i="1" s="1"/>
  <c r="I22" i="1"/>
  <c r="I21" i="1"/>
  <c r="L21" i="1" s="1"/>
  <c r="I20" i="1"/>
  <c r="I19" i="1"/>
  <c r="L19" i="1" s="1"/>
  <c r="I18" i="1"/>
  <c r="L18" i="1" s="1"/>
  <c r="I17" i="1"/>
  <c r="I16" i="1"/>
  <c r="I15" i="1"/>
  <c r="L15" i="1" s="1"/>
  <c r="I14" i="1"/>
  <c r="L14" i="1" s="1"/>
  <c r="I13" i="1"/>
  <c r="L13" i="1" s="1"/>
  <c r="I11" i="1"/>
  <c r="I9" i="1"/>
  <c r="L9" i="1" s="1"/>
  <c r="I8" i="1"/>
  <c r="L8" i="1" s="1"/>
  <c r="I7" i="1"/>
  <c r="L7" i="1" s="1"/>
  <c r="I6" i="1"/>
  <c r="I5" i="1"/>
  <c r="I154" i="1"/>
  <c r="L154" i="1" s="1"/>
  <c r="L25" i="1"/>
  <c r="J108" i="1"/>
  <c r="J10" i="1"/>
  <c r="L22" i="1"/>
  <c r="L104" i="1"/>
  <c r="L126" i="1"/>
  <c r="J154" i="1"/>
  <c r="J5" i="1"/>
  <c r="J6" i="1"/>
  <c r="J7" i="1"/>
  <c r="J8" i="1"/>
  <c r="J9" i="1"/>
  <c r="J11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30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2" i="1"/>
  <c r="J73" i="1"/>
  <c r="J74" i="1"/>
  <c r="J76" i="1"/>
  <c r="J77" i="1"/>
  <c r="J78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5" i="1"/>
  <c r="J126" i="1"/>
  <c r="J127" i="1"/>
  <c r="J128" i="1"/>
  <c r="J129" i="1"/>
  <c r="J130" i="1"/>
  <c r="J132" i="1"/>
  <c r="J133" i="1"/>
  <c r="J134" i="1"/>
  <c r="J135" i="1"/>
  <c r="J136" i="1"/>
  <c r="J137" i="1"/>
  <c r="J138" i="1"/>
  <c r="J140" i="1"/>
  <c r="J142" i="1"/>
  <c r="J143" i="1"/>
  <c r="J144" i="1"/>
  <c r="J146" i="1"/>
  <c r="J147" i="1"/>
  <c r="J148" i="1"/>
  <c r="J4" i="1"/>
  <c r="J150" i="1"/>
  <c r="J151" i="1"/>
  <c r="J153" i="1"/>
  <c r="J156" i="1"/>
  <c r="J157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2" i="1"/>
  <c r="J158" i="1"/>
  <c r="J2" i="1"/>
  <c r="J124" i="1"/>
  <c r="J145" i="1"/>
  <c r="J152" i="1"/>
  <c r="J159" i="1"/>
  <c r="J155" i="1"/>
  <c r="J139" i="1"/>
  <c r="J31" i="1"/>
  <c r="J141" i="1"/>
  <c r="J75" i="1"/>
  <c r="J131" i="1"/>
  <c r="J3" i="1"/>
  <c r="I3" i="1"/>
  <c r="K6" i="1" l="1"/>
  <c r="K11" i="1"/>
  <c r="K20" i="1"/>
  <c r="K28" i="1"/>
  <c r="K38" i="1"/>
  <c r="K46" i="1"/>
  <c r="K54" i="1"/>
  <c r="K63" i="1"/>
  <c r="K72" i="1"/>
  <c r="K86" i="1"/>
  <c r="K102" i="1"/>
  <c r="K111" i="1"/>
  <c r="K137" i="1"/>
  <c r="K55" i="1"/>
  <c r="K68" i="1"/>
  <c r="K16" i="1"/>
  <c r="K24" i="1"/>
  <c r="K34" i="1"/>
  <c r="K42" i="1"/>
  <c r="K50" i="1"/>
  <c r="K59" i="1"/>
  <c r="K67" i="1"/>
  <c r="K17" i="1"/>
  <c r="K25" i="1"/>
  <c r="K51" i="1"/>
  <c r="K112" i="1"/>
  <c r="K152" i="1"/>
  <c r="K10" i="1"/>
  <c r="K3" i="1"/>
  <c r="K22" i="1"/>
  <c r="K88" i="1"/>
  <c r="K104" i="1"/>
  <c r="K126" i="1"/>
  <c r="K146" i="1"/>
  <c r="K150" i="1"/>
  <c r="K157" i="1"/>
  <c r="K164" i="1"/>
  <c r="K168" i="1"/>
  <c r="K172" i="1"/>
  <c r="K176" i="1"/>
  <c r="K180" i="1"/>
  <c r="K79" i="1"/>
  <c r="K182" i="1"/>
  <c r="K2" i="1"/>
  <c r="K184" i="1"/>
  <c r="K188" i="1"/>
  <c r="K187" i="1"/>
  <c r="K185" i="1"/>
  <c r="K189" i="1"/>
  <c r="K186" i="1"/>
  <c r="K183" i="1"/>
  <c r="K159" i="1"/>
  <c r="L152" i="1"/>
  <c r="K5" i="1"/>
  <c r="K76" i="1"/>
  <c r="K81" i="1"/>
  <c r="K85" i="1"/>
  <c r="K89" i="1"/>
  <c r="K93" i="1"/>
  <c r="K97" i="1"/>
  <c r="K101" i="1"/>
  <c r="K105" i="1"/>
  <c r="K110" i="1"/>
  <c r="K114" i="1"/>
  <c r="K118" i="1"/>
  <c r="K122" i="1"/>
  <c r="K127" i="1"/>
  <c r="K132" i="1"/>
  <c r="K136" i="1"/>
  <c r="K142" i="1"/>
  <c r="K151" i="1"/>
  <c r="K165" i="1"/>
  <c r="K155" i="1"/>
  <c r="K70" i="1"/>
  <c r="K53" i="1"/>
  <c r="K37" i="1"/>
  <c r="K19" i="1"/>
  <c r="K56" i="1"/>
  <c r="K177" i="1"/>
  <c r="K130" i="1"/>
  <c r="K113" i="1"/>
  <c r="K96" i="1"/>
  <c r="K80" i="1"/>
  <c r="K61" i="1"/>
  <c r="K44" i="1"/>
  <c r="K26" i="1"/>
  <c r="K8" i="1"/>
  <c r="K75" i="1"/>
  <c r="K140" i="1"/>
  <c r="K158" i="1"/>
  <c r="K167" i="1"/>
  <c r="K144" i="1"/>
  <c r="K125" i="1"/>
  <c r="K107" i="1"/>
  <c r="K91" i="1"/>
  <c r="K73" i="1"/>
  <c r="K39" i="1"/>
  <c r="K21" i="1"/>
  <c r="K71" i="1"/>
  <c r="K170" i="1"/>
  <c r="K148" i="1"/>
  <c r="K128" i="1"/>
  <c r="K94" i="1"/>
  <c r="K77" i="1"/>
  <c r="K124" i="1"/>
  <c r="K161" i="1"/>
  <c r="K66" i="1"/>
  <c r="K49" i="1"/>
  <c r="K33" i="1"/>
  <c r="K15" i="1"/>
  <c r="K131" i="1"/>
  <c r="K141" i="1"/>
  <c r="K109" i="1"/>
  <c r="K92" i="1"/>
  <c r="K74" i="1"/>
  <c r="K57" i="1"/>
  <c r="K40" i="1"/>
  <c r="K154" i="1"/>
  <c r="K181" i="1"/>
  <c r="K179" i="1"/>
  <c r="K163" i="1"/>
  <c r="K138" i="1"/>
  <c r="K120" i="1"/>
  <c r="K103" i="1"/>
  <c r="K87" i="1"/>
  <c r="K35" i="1"/>
  <c r="K149" i="1"/>
  <c r="K166" i="1"/>
  <c r="K143" i="1"/>
  <c r="K123" i="1"/>
  <c r="K106" i="1"/>
  <c r="K90" i="1"/>
  <c r="K160" i="1"/>
  <c r="K173" i="1"/>
  <c r="K62" i="1"/>
  <c r="K45" i="1"/>
  <c r="K27" i="1"/>
  <c r="K9" i="1"/>
  <c r="K178" i="1"/>
  <c r="K121" i="1"/>
  <c r="K69" i="1"/>
  <c r="K52" i="1"/>
  <c r="K36" i="1"/>
  <c r="K18" i="1"/>
  <c r="K108" i="1"/>
  <c r="K31" i="1"/>
  <c r="K175" i="1"/>
  <c r="K156" i="1"/>
  <c r="K134" i="1"/>
  <c r="K116" i="1"/>
  <c r="K99" i="1"/>
  <c r="K83" i="1"/>
  <c r="K64" i="1"/>
  <c r="K47" i="1"/>
  <c r="K30" i="1"/>
  <c r="K13" i="1"/>
  <c r="K145" i="1"/>
  <c r="K162" i="1"/>
  <c r="K119" i="1"/>
  <c r="K29" i="1"/>
  <c r="K139" i="1"/>
  <c r="K169" i="1"/>
  <c r="K147" i="1"/>
  <c r="K58" i="1"/>
  <c r="K41" i="1"/>
  <c r="K23" i="1"/>
  <c r="K135" i="1"/>
  <c r="K117" i="1"/>
  <c r="K100" i="1"/>
  <c r="K84" i="1"/>
  <c r="K65" i="1"/>
  <c r="K48" i="1"/>
  <c r="K32" i="1"/>
  <c r="K14" i="1"/>
  <c r="K12" i="1"/>
  <c r="K171" i="1"/>
  <c r="K4" i="1"/>
  <c r="K129" i="1"/>
  <c r="K95" i="1"/>
  <c r="K78" i="1"/>
  <c r="K60" i="1"/>
  <c r="K43" i="1"/>
  <c r="K7" i="1"/>
  <c r="K174" i="1"/>
  <c r="K153" i="1"/>
  <c r="K133" i="1"/>
  <c r="K115" i="1"/>
  <c r="K98" i="1"/>
  <c r="K82" i="1"/>
  <c r="L155" i="1"/>
  <c r="L88" i="1"/>
  <c r="L112" i="1"/>
  <c r="L165" i="1"/>
  <c r="L111" i="1"/>
  <c r="L55" i="1"/>
  <c r="L137" i="1"/>
  <c r="L102" i="1"/>
  <c r="L68" i="1"/>
  <c r="L51" i="1"/>
  <c r="L17" i="1"/>
  <c r="L151" i="1"/>
  <c r="L86" i="1"/>
  <c r="L10" i="1"/>
  <c r="L3" i="1"/>
  <c r="L159" i="1"/>
  <c r="L2" i="1"/>
  <c r="L180" i="1"/>
  <c r="L176" i="1"/>
  <c r="L172" i="1"/>
  <c r="L168" i="1"/>
  <c r="L164" i="1"/>
  <c r="L157" i="1"/>
  <c r="L150" i="1"/>
  <c r="L146" i="1"/>
  <c r="L142" i="1"/>
  <c r="L136" i="1"/>
  <c r="L132" i="1"/>
  <c r="L127" i="1"/>
  <c r="L122" i="1"/>
  <c r="L118" i="1"/>
  <c r="L114" i="1"/>
  <c r="L110" i="1"/>
  <c r="L105" i="1"/>
  <c r="L101" i="1"/>
  <c r="L97" i="1"/>
  <c r="L93" i="1"/>
  <c r="L89" i="1"/>
  <c r="L85" i="1"/>
  <c r="L81" i="1"/>
  <c r="L76" i="1"/>
  <c r="L72" i="1"/>
  <c r="L67" i="1"/>
  <c r="L63" i="1"/>
  <c r="L59" i="1"/>
  <c r="L54" i="1"/>
  <c r="L50" i="1"/>
  <c r="L46" i="1"/>
  <c r="L42" i="1"/>
  <c r="L38" i="1"/>
  <c r="L34" i="1"/>
  <c r="L28" i="1"/>
  <c r="L24" i="1"/>
  <c r="L20" i="1"/>
  <c r="L16" i="1"/>
  <c r="L11" i="1"/>
  <c r="L6" i="1"/>
  <c r="L5" i="1"/>
</calcChain>
</file>

<file path=xl/sharedStrings.xml><?xml version="1.0" encoding="utf-8"?>
<sst xmlns="http://schemas.openxmlformats.org/spreadsheetml/2006/main" count="763" uniqueCount="247">
  <si>
    <t>pName</t>
  </si>
  <si>
    <t>aiming</t>
  </si>
  <si>
    <t>dodging</t>
  </si>
  <si>
    <t>awareness</t>
  </si>
  <si>
    <t>reflexes</t>
  </si>
  <si>
    <t>movement</t>
  </si>
  <si>
    <t>reputation</t>
  </si>
  <si>
    <t>Potential Bonus</t>
  </si>
  <si>
    <t>overall2</t>
  </si>
  <si>
    <t>overall</t>
  </si>
  <si>
    <t>rank</t>
  </si>
  <si>
    <t>tier</t>
  </si>
  <si>
    <t>trait1</t>
  </si>
  <si>
    <t>trait2</t>
  </si>
  <si>
    <t>trait3</t>
  </si>
  <si>
    <t>moderator</t>
  </si>
  <si>
    <t>ttoc</t>
  </si>
  <si>
    <t>status</t>
  </si>
  <si>
    <t>_-Yourdestruction-_</t>
  </si>
  <si>
    <t>spammer</t>
  </si>
  <si>
    <t>runner</t>
  </si>
  <si>
    <t>rush</t>
  </si>
  <si>
    <t>snipe</t>
  </si>
  <si>
    <t>5am</t>
  </si>
  <si>
    <t>long</t>
  </si>
  <si>
    <t>90814A</t>
  </si>
  <si>
    <t>Accountant</t>
  </si>
  <si>
    <t>pacifist</t>
  </si>
  <si>
    <t>safe</t>
  </si>
  <si>
    <t>AceHawk</t>
  </si>
  <si>
    <t>ADEVE</t>
  </si>
  <si>
    <t>Agitate</t>
  </si>
  <si>
    <t>aimbot</t>
  </si>
  <si>
    <t>micro</t>
  </si>
  <si>
    <t>Amplitude</t>
  </si>
  <si>
    <t>smart</t>
  </si>
  <si>
    <t>ANUIQUILATE</t>
  </si>
  <si>
    <t>Argontrax</t>
  </si>
  <si>
    <t>Awais11</t>
  </si>
  <si>
    <t>Axis</t>
  </si>
  <si>
    <t>camp</t>
  </si>
  <si>
    <t>bangbangshoota</t>
  </si>
  <si>
    <t>Batrizxya</t>
  </si>
  <si>
    <t>bbc</t>
  </si>
  <si>
    <t>Ben314</t>
  </si>
  <si>
    <t>BigLavaMaster</t>
  </si>
  <si>
    <t>BlackHalo</t>
  </si>
  <si>
    <t>blazethebest</t>
  </si>
  <si>
    <t>BraveValkyrie</t>
  </si>
  <si>
    <t>CannonClasher55</t>
  </si>
  <si>
    <t>captainahvong</t>
  </si>
  <si>
    <t>CaptainNinja_SoCool</t>
  </si>
  <si>
    <t>d</t>
  </si>
  <si>
    <t>CaptainPainSoCool</t>
  </si>
  <si>
    <t>Captain-Rage</t>
  </si>
  <si>
    <t>Catalyst</t>
  </si>
  <si>
    <t>Champz</t>
  </si>
  <si>
    <t>ChillyCombatCoconut</t>
  </si>
  <si>
    <t>Chye3mc</t>
  </si>
  <si>
    <t>Cicada3301</t>
  </si>
  <si>
    <t>random</t>
  </si>
  <si>
    <t>Clxdy</t>
  </si>
  <si>
    <t>Commander</t>
  </si>
  <si>
    <t>Comradeherio</t>
  </si>
  <si>
    <t>CoolSolarDrill</t>
  </si>
  <si>
    <t>CosmicCal</t>
  </si>
  <si>
    <t>CosmosAblaze</t>
  </si>
  <si>
    <t>forum</t>
  </si>
  <si>
    <t>CrazyRager</t>
  </si>
  <si>
    <t>Creep</t>
  </si>
  <si>
    <t xml:space="preserve">long </t>
  </si>
  <si>
    <t>DarkCrypt</t>
  </si>
  <si>
    <t>DaveMadeByDave</t>
  </si>
  <si>
    <t>new</t>
  </si>
  <si>
    <t>Dexity</t>
  </si>
  <si>
    <t>domo12</t>
  </si>
  <si>
    <t>draculous</t>
  </si>
  <si>
    <t>Dre</t>
  </si>
  <si>
    <t>dvi9311</t>
  </si>
  <si>
    <t>Envy</t>
  </si>
  <si>
    <t>Etxrnity</t>
  </si>
  <si>
    <t>ezan7</t>
  </si>
  <si>
    <t>FakeDodger</t>
  </si>
  <si>
    <t>feed</t>
  </si>
  <si>
    <t>FreeCandy-Tank</t>
  </si>
  <si>
    <t>GeekyDirtSalsa</t>
  </si>
  <si>
    <t>Gentleman</t>
  </si>
  <si>
    <t>george8888</t>
  </si>
  <si>
    <t>Giraffe</t>
  </si>
  <si>
    <t>GrandGGGGG</t>
  </si>
  <si>
    <t>HA10</t>
  </si>
  <si>
    <t>HafizMuhammad</t>
  </si>
  <si>
    <t>icorbica</t>
  </si>
  <si>
    <t>iiRyzex</t>
  </si>
  <si>
    <t>II-Waheed-II</t>
  </si>
  <si>
    <t>imslayer</t>
  </si>
  <si>
    <t>InfinityRager</t>
  </si>
  <si>
    <t>Invasive</t>
  </si>
  <si>
    <t>itxchi</t>
  </si>
  <si>
    <t>jaspritbumrah</t>
  </si>
  <si>
    <t>javie</t>
  </si>
  <si>
    <t>Jaw</t>
  </si>
  <si>
    <t>Jellican</t>
  </si>
  <si>
    <t>kaag</t>
  </si>
  <si>
    <t>Kamarov</t>
  </si>
  <si>
    <t>Kerosene</t>
  </si>
  <si>
    <t>kiid_kvrii</t>
  </si>
  <si>
    <t>KimChiJS</t>
  </si>
  <si>
    <t>Kurupted</t>
  </si>
  <si>
    <t>LB96-Laika</t>
  </si>
  <si>
    <t>LexGenis</t>
  </si>
  <si>
    <t>LIAMTHEWARRIOR</t>
  </si>
  <si>
    <t>Lichen</t>
  </si>
  <si>
    <t>Lichy</t>
  </si>
  <si>
    <t>lieutenant</t>
  </si>
  <si>
    <t>lnvader</t>
  </si>
  <si>
    <t>meemee</t>
  </si>
  <si>
    <t>-minus-</t>
  </si>
  <si>
    <t>mouse</t>
  </si>
  <si>
    <t>Monty-G</t>
  </si>
  <si>
    <t>moscles25</t>
  </si>
  <si>
    <t>mr_stranger</t>
  </si>
  <si>
    <t>Mud</t>
  </si>
  <si>
    <t>-mudpaper-</t>
  </si>
  <si>
    <t>Nelfusion</t>
  </si>
  <si>
    <t>Night-Reaper</t>
  </si>
  <si>
    <t>Ninja_dud2000</t>
  </si>
  <si>
    <t>No_Ammo</t>
  </si>
  <si>
    <t>nova-I-the-one</t>
  </si>
  <si>
    <t>NUKE-LORD</t>
  </si>
  <si>
    <t>obitoBlade</t>
  </si>
  <si>
    <t>OddOne</t>
  </si>
  <si>
    <t>OMEGA_GOD</t>
  </si>
  <si>
    <t>onion-</t>
  </si>
  <si>
    <t>Paralyzed</t>
  </si>
  <si>
    <t xml:space="preserve">micro </t>
  </si>
  <si>
    <t>purup</t>
  </si>
  <si>
    <t>QuickNinja</t>
  </si>
  <si>
    <t>Raezy</t>
  </si>
  <si>
    <t>Rage</t>
  </si>
  <si>
    <t>Raika_TheDestroyer</t>
  </si>
  <si>
    <t>realoganninja</t>
  </si>
  <si>
    <t>Redwind</t>
  </si>
  <si>
    <t>rhak</t>
  </si>
  <si>
    <t>Rozes</t>
  </si>
  <si>
    <t>Sarjil</t>
  </si>
  <si>
    <t>SAVAGE5858</t>
  </si>
  <si>
    <t>SavvyDeathRabbit</t>
  </si>
  <si>
    <t>SoulPanda</t>
  </si>
  <si>
    <t>spendullix</t>
  </si>
  <si>
    <t>Splatz</t>
  </si>
  <si>
    <t>supervolcano</t>
  </si>
  <si>
    <t>tankesitooo</t>
  </si>
  <si>
    <t>3rdp</t>
  </si>
  <si>
    <t>Testvolkano1235</t>
  </si>
  <si>
    <t>THE_MAD_SCIENTIST</t>
  </si>
  <si>
    <t>theBlade3000</t>
  </si>
  <si>
    <t>Toastation</t>
  </si>
  <si>
    <t>TripleStryke</t>
  </si>
  <si>
    <t>ttvfaZeclaps</t>
  </si>
  <si>
    <t>Turbo-Rambo</t>
  </si>
  <si>
    <t>Turbulence</t>
  </si>
  <si>
    <t>Violent</t>
  </si>
  <si>
    <t>X_PURE_X</t>
  </si>
  <si>
    <t>X-Ghost</t>
  </si>
  <si>
    <t>xxfirechampxx200</t>
  </si>
  <si>
    <t>YD109</t>
  </si>
  <si>
    <t>YourDemise</t>
  </si>
  <si>
    <t>YuriDior</t>
  </si>
  <si>
    <t>Yusei</t>
  </si>
  <si>
    <t>yxngdebz</t>
  </si>
  <si>
    <t>zakaria_bvb</t>
  </si>
  <si>
    <t>Xyro</t>
  </si>
  <si>
    <t>Augurdewy</t>
  </si>
  <si>
    <t>FineAcidGorilla</t>
  </si>
  <si>
    <t>ZanyBabyTitan</t>
  </si>
  <si>
    <t>RockyHandsome</t>
  </si>
  <si>
    <t>Comrade-Rage</t>
  </si>
  <si>
    <t>supaim</t>
  </si>
  <si>
    <t>supmicro</t>
  </si>
  <si>
    <t>supawr</t>
  </si>
  <si>
    <t>suprush</t>
  </si>
  <si>
    <t>toxic</t>
  </si>
  <si>
    <t>ttoc1</t>
  </si>
  <si>
    <t>supermicro</t>
  </si>
  <si>
    <t>Masqurade</t>
  </si>
  <si>
    <t>TheYoungPharaoh</t>
  </si>
  <si>
    <t>Blade_X_Blood</t>
  </si>
  <si>
    <t>FlappyBetaPhoenix</t>
  </si>
  <si>
    <t>GS_1905</t>
  </si>
  <si>
    <t>Quser</t>
  </si>
  <si>
    <t>Mexico500</t>
  </si>
  <si>
    <t>Polarite</t>
  </si>
  <si>
    <t>mueeztheman</t>
  </si>
  <si>
    <t>Mishka</t>
  </si>
  <si>
    <t>Orc-T72</t>
  </si>
  <si>
    <t>blackgokured</t>
  </si>
  <si>
    <t>infuriater</t>
  </si>
  <si>
    <t>AJC</t>
  </si>
  <si>
    <t>TankTitans</t>
  </si>
  <si>
    <t>_Eddie_</t>
  </si>
  <si>
    <t>Rubens</t>
  </si>
  <si>
    <t>olidan</t>
  </si>
  <si>
    <t>Spiros04</t>
  </si>
  <si>
    <t>Ten</t>
  </si>
  <si>
    <t>StrongCosmicClaw</t>
  </si>
  <si>
    <t>RedTitaniumLion</t>
  </si>
  <si>
    <t>Captain</t>
  </si>
  <si>
    <t>Reverend</t>
  </si>
  <si>
    <t>Ic803</t>
  </si>
  <si>
    <t>proteusnitro</t>
  </si>
  <si>
    <t>striker1</t>
  </si>
  <si>
    <t>Aerona</t>
  </si>
  <si>
    <t>mlky</t>
  </si>
  <si>
    <t>breadandbutter</t>
  </si>
  <si>
    <t>ShadowAssassin1</t>
  </si>
  <si>
    <t>_zenin_</t>
  </si>
  <si>
    <t>ImmortalCyborg</t>
  </si>
  <si>
    <t>DustyNinjaDominator</t>
  </si>
  <si>
    <t>TEOMRS</t>
  </si>
  <si>
    <t>GrapeApe</t>
  </si>
  <si>
    <t xml:space="preserve">new </t>
  </si>
  <si>
    <t>Bape10</t>
  </si>
  <si>
    <t>heckerwastaken</t>
  </si>
  <si>
    <t>Mandilindors</t>
  </si>
  <si>
    <t>volodymyr77</t>
  </si>
  <si>
    <t>Nhyiraba90</t>
  </si>
  <si>
    <t>BESTGIRL419</t>
  </si>
  <si>
    <t>SilentFlameMuffin</t>
  </si>
  <si>
    <t>player1</t>
  </si>
  <si>
    <t>player2</t>
  </si>
  <si>
    <t>player3</t>
  </si>
  <si>
    <t>status1</t>
  </si>
  <si>
    <t>status2</t>
  </si>
  <si>
    <t>status3</t>
  </si>
  <si>
    <t>date</t>
  </si>
  <si>
    <t>Vipro</t>
  </si>
  <si>
    <t>slatt</t>
  </si>
  <si>
    <t>DISCONTINUED</t>
  </si>
  <si>
    <t>player</t>
  </si>
  <si>
    <t>date_added</t>
  </si>
  <si>
    <t>---__---</t>
  </si>
  <si>
    <t>pending</t>
  </si>
  <si>
    <t>Sc4r</t>
  </si>
  <si>
    <t xml:space="preserve">release </t>
  </si>
  <si>
    <t>up</t>
  </si>
  <si>
    <t>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</si>
</sst>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[$-F800]dddd\,\ mmmm\ dd\,\ yyyy"/>
  </numFmts>
  <fonts count="1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2" tint="-9.9948118533890809E-2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1" fontId="0" fillId="0" borderId="0" xfId="0" applyNumberFormat="1"/>
    <xf numFmtId="0" fontId="0" fillId="33" borderId="0" xfId="0" applyFill="1"/>
    <xf numFmtId="0" fontId="0" fillId="0" borderId="0" xfId="0" quotePrefix="1"/>
    <xf numFmtId="164" fontId="0" fillId="0" borderId="0" xfId="0" applyNumberFormat="1"/>
    <xf numFmtId="0" fontId="0" fillId="34" borderId="10" xfId="0" applyFill="1" applyBorder="1" applyAlignment="1">
      <alignment wrapText="1"/>
    </xf>
    <xf numFmtId="165" fontId="0" fillId="34" borderId="10" xfId="0" applyNumberFormat="1" applyFill="1" applyBorder="1" applyAlignment="1">
      <alignment wrapText="1"/>
    </xf>
    <xf numFmtId="0" fontId="0" fillId="0" borderId="10" xfId="0" applyBorder="1" applyAlignment="1">
      <alignment wrapText="1"/>
    </xf>
    <xf numFmtId="165" fontId="0" fillId="0" borderId="10" xfId="0" applyNumberFormat="1" applyBorder="1" applyAlignment="1">
      <alignment wrapText="1"/>
    </xf>
    <xf numFmtId="0" fontId="0" fillId="0" borderId="10" xfId="0" quotePrefix="1" applyBorder="1" applyAlignment="1">
      <alignment wrapText="1"/>
    </xf>
    <xf numFmtId="165" fontId="0" fillId="0" borderId="11" xfId="0" applyNumberFormat="1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18" fillId="35" borderId="10" xfId="0" applyFont="1" applyFill="1" applyBorder="1"/>
    <xf numFmtId="0" fontId="0" fillId="36" borderId="15" xfId="0" applyFill="1" applyBorder="1"/>
    <xf numFmtId="164" fontId="0" fillId="36" borderId="15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ont>
        <b/>
        <i val="0"/>
        <color rgb="FFFAF2C2"/>
      </font>
      <fill>
        <patternFill>
          <bgColor rgb="FF9C7E1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2843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FF00"/>
      </font>
      <fill>
        <patternFill>
          <bgColor rgb="FF7600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0.59996337778862885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CDEFDE"/>
      </font>
      <fill>
        <patternFill>
          <bgColor rgb="FF35A16B"/>
        </patternFill>
      </fill>
      <border>
        <left style="thin">
          <color rgb="FF1C5438"/>
        </left>
        <right style="thin">
          <color rgb="FF1C5438"/>
        </right>
        <top style="thin">
          <color rgb="FF1C5438"/>
        </top>
        <bottom style="thin">
          <color rgb="FF1C5438"/>
        </bottom>
        <vertical/>
        <horizontal/>
      </border>
    </dxf>
    <dxf>
      <font>
        <b/>
        <i val="0"/>
        <color rgb="FFD1EBFF"/>
      </font>
      <fill>
        <patternFill>
          <bgColor rgb="FF005A9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D5E3FF"/>
      </font>
      <fill>
        <patternFill>
          <bgColor rgb="FF0038A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D9D9"/>
      </font>
      <fill>
        <patternFill>
          <bgColor rgb="FF8E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A3C2FF"/>
      </font>
      <fill>
        <patternFill>
          <bgColor rgb="FF401B55"/>
        </patternFill>
      </fill>
    </dxf>
    <dxf>
      <font>
        <b/>
        <i val="0"/>
        <color rgb="FFDCC5ED"/>
      </font>
      <fill>
        <patternFill>
          <bgColor rgb="FF17093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DF79"/>
      </font>
      <fill>
        <patternFill>
          <bgColor theme="1" tint="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</font>
      <fill>
        <patternFill>
          <bgColor rgb="FF73A4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73B3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7E5B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auto="1"/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6BF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rgb="FFF66B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5EA4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760076"/>
      <color rgb="FFD2843E"/>
      <color rgb="FF9C7E10"/>
      <color rgb="FFFAF2C2"/>
      <color rgb="FFDCB216"/>
      <color rgb="FFFFDF79"/>
      <color rgb="FFDCC5ED"/>
      <color rgb="FF170939"/>
      <color rgb="FF401B55"/>
      <color rgb="FFA3C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R189"/>
  <sheetViews>
    <sheetView tabSelected="1" topLeftCell="A170" zoomScaleNormal="100" workbookViewId="0">
      <selection activeCell="Q183" sqref="Q183"/>
    </sheetView>
  </sheetViews>
  <sheetFormatPr defaultRowHeight="15" thickTop="1" thickBottom="1"/>
  <cols>
    <col min="1" max="1" width="21" style="16" customWidth="1"/>
    <col min="10" max="10" width="8.8984375" style="1"/>
    <col min="12" max="12" width="8.796875" style="14"/>
    <col min="16" max="17" width="8.796875" style="14"/>
  </cols>
  <sheetData>
    <row r="1" spans="1:18" ht="14.4" thickBo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t="s">
        <v>10</v>
      </c>
      <c r="L1" s="14" t="s">
        <v>11</v>
      </c>
      <c r="M1" t="s">
        <v>12</v>
      </c>
      <c r="N1" t="s">
        <v>13</v>
      </c>
      <c r="O1" t="s">
        <v>14</v>
      </c>
      <c r="P1" s="14" t="s">
        <v>15</v>
      </c>
      <c r="Q1" s="14" t="s">
        <v>16</v>
      </c>
      <c r="R1" t="s">
        <v>17</v>
      </c>
    </row>
    <row r="2" spans="1:18" thickTop="1" thickBot="1">
      <c r="A2" s="16" t="s">
        <v>200</v>
      </c>
      <c r="B2">
        <v>81</v>
      </c>
      <c r="C2">
        <v>83</v>
      </c>
      <c r="D2">
        <v>77</v>
      </c>
      <c r="E2">
        <v>81</v>
      </c>
      <c r="F2">
        <v>80</v>
      </c>
      <c r="G2">
        <v>8</v>
      </c>
      <c r="H2">
        <v>0</v>
      </c>
      <c r="I2">
        <f t="shared" ref="I2:I33" si="0">(AVERAGE(B2*0.3,C2*0.3,D2*0.15,E2*0.1,F2*0.1,G2*0.05)*6)+3+H2</f>
        <v>80.25</v>
      </c>
      <c r="J2" s="1">
        <f t="shared" ref="J2:J33" si="1">(AVERAGE(B2*0.3,C2*0.3,D2*0.15,E2*0.1,F2*0.1,G2*0.05)*6)+3+H2</f>
        <v>80.25</v>
      </c>
      <c r="K2">
        <f>IF(I2&lt;&gt;"", RANK(I2, I:I, 0), "")</f>
        <v>74</v>
      </c>
      <c r="L2" s="14" t="str">
        <f t="shared" ref="L2:L33" si="2">IF(I2&gt;=89.5,"S+",IF(I2&gt;=84.5,"S",IF(I2&gt;=79.5,"A+",IF(I2&gt;=69.5,"A",IF(I2&gt;=59.5,"B",IF(I2&gt;=49.5,"C","D"))))))</f>
        <v>A+</v>
      </c>
      <c r="M2" t="s">
        <v>24</v>
      </c>
      <c r="N2" t="s">
        <v>40</v>
      </c>
      <c r="O2" t="s">
        <v>20</v>
      </c>
      <c r="R2" t="s">
        <v>52</v>
      </c>
    </row>
    <row r="3" spans="1:18" thickTop="1" thickBot="1">
      <c r="A3" s="16" t="s">
        <v>18</v>
      </c>
      <c r="B3">
        <v>79</v>
      </c>
      <c r="C3">
        <v>82</v>
      </c>
      <c r="D3">
        <v>72</v>
      </c>
      <c r="E3">
        <v>84</v>
      </c>
      <c r="F3">
        <v>83</v>
      </c>
      <c r="G3">
        <v>8</v>
      </c>
      <c r="H3">
        <v>3</v>
      </c>
      <c r="I3">
        <f t="shared" si="0"/>
        <v>82.2</v>
      </c>
      <c r="J3" s="1">
        <f t="shared" si="1"/>
        <v>82.2</v>
      </c>
      <c r="K3">
        <f t="shared" ref="K3:K33" si="3">IF(I3&lt;&gt;"", RANK(I3, I:I, 0), "")</f>
        <v>56</v>
      </c>
      <c r="L3" s="14" t="str">
        <f t="shared" si="2"/>
        <v>A+</v>
      </c>
      <c r="M3" t="s">
        <v>19</v>
      </c>
      <c r="N3" t="s">
        <v>20</v>
      </c>
      <c r="O3" t="s">
        <v>21</v>
      </c>
      <c r="R3" t="s">
        <v>52</v>
      </c>
    </row>
    <row r="4" spans="1:18" thickTop="1" thickBot="1">
      <c r="A4" s="16" t="s">
        <v>216</v>
      </c>
      <c r="B4" s="2">
        <v>77</v>
      </c>
      <c r="C4" s="2">
        <v>79</v>
      </c>
      <c r="D4" s="2">
        <v>74</v>
      </c>
      <c r="E4" s="2">
        <v>81</v>
      </c>
      <c r="F4" s="2">
        <v>80</v>
      </c>
      <c r="G4" s="2">
        <v>8</v>
      </c>
      <c r="H4" s="2">
        <v>1</v>
      </c>
      <c r="I4">
        <f t="shared" si="0"/>
        <v>78.400000000000006</v>
      </c>
      <c r="J4" s="1">
        <f t="shared" si="1"/>
        <v>78.400000000000006</v>
      </c>
      <c r="K4">
        <f t="shared" si="3"/>
        <v>84</v>
      </c>
      <c r="L4" s="14" t="str">
        <f t="shared" si="2"/>
        <v>A</v>
      </c>
      <c r="M4" s="2" t="s">
        <v>24</v>
      </c>
      <c r="N4" s="2" t="s">
        <v>60</v>
      </c>
      <c r="O4" s="2" t="s">
        <v>28</v>
      </c>
      <c r="P4" s="15"/>
      <c r="Q4" s="15"/>
      <c r="R4" s="2" t="s">
        <v>52</v>
      </c>
    </row>
    <row r="5" spans="1:18" thickTop="1" thickBot="1">
      <c r="A5" s="16" t="s">
        <v>23</v>
      </c>
      <c r="B5">
        <v>72</v>
      </c>
      <c r="C5">
        <v>80</v>
      </c>
      <c r="D5">
        <v>75</v>
      </c>
      <c r="E5">
        <v>77</v>
      </c>
      <c r="F5">
        <v>83</v>
      </c>
      <c r="G5">
        <v>10</v>
      </c>
      <c r="H5">
        <v>6</v>
      </c>
      <c r="I5">
        <f t="shared" si="0"/>
        <v>82.35</v>
      </c>
      <c r="J5" s="1">
        <f t="shared" si="1"/>
        <v>82.35</v>
      </c>
      <c r="K5">
        <f t="shared" si="3"/>
        <v>53</v>
      </c>
      <c r="L5" s="14" t="str">
        <f t="shared" si="2"/>
        <v>A+</v>
      </c>
      <c r="M5" t="s">
        <v>24</v>
      </c>
      <c r="N5" t="s">
        <v>33</v>
      </c>
      <c r="O5" t="s">
        <v>22</v>
      </c>
      <c r="P5" s="14">
        <v>6</v>
      </c>
      <c r="Q5" s="14" t="s">
        <v>183</v>
      </c>
    </row>
    <row r="6" spans="1:18" thickTop="1" thickBot="1">
      <c r="A6" s="16" t="s">
        <v>25</v>
      </c>
      <c r="B6">
        <v>50</v>
      </c>
      <c r="C6">
        <v>54</v>
      </c>
      <c r="D6">
        <v>69</v>
      </c>
      <c r="E6">
        <v>33</v>
      </c>
      <c r="F6">
        <v>42</v>
      </c>
      <c r="G6">
        <v>4</v>
      </c>
      <c r="H6">
        <v>0</v>
      </c>
      <c r="I6">
        <f t="shared" si="0"/>
        <v>52.25</v>
      </c>
      <c r="J6" s="1">
        <f t="shared" si="1"/>
        <v>52.25</v>
      </c>
      <c r="K6">
        <f t="shared" si="3"/>
        <v>133</v>
      </c>
      <c r="L6" s="14" t="str">
        <f t="shared" si="2"/>
        <v>C</v>
      </c>
      <c r="M6" t="s">
        <v>20</v>
      </c>
      <c r="N6" t="s">
        <v>153</v>
      </c>
      <c r="O6" t="s">
        <v>60</v>
      </c>
      <c r="R6" t="s">
        <v>52</v>
      </c>
    </row>
    <row r="7" spans="1:18" thickTop="1" thickBot="1">
      <c r="A7" s="16" t="s">
        <v>26</v>
      </c>
      <c r="B7">
        <v>64</v>
      </c>
      <c r="C7">
        <v>70</v>
      </c>
      <c r="D7">
        <v>61</v>
      </c>
      <c r="E7">
        <v>65</v>
      </c>
      <c r="F7">
        <v>59</v>
      </c>
      <c r="G7">
        <v>10</v>
      </c>
      <c r="H7">
        <v>0</v>
      </c>
      <c r="I7">
        <f t="shared" si="0"/>
        <v>65.25</v>
      </c>
      <c r="J7" s="1">
        <f t="shared" si="1"/>
        <v>65.25</v>
      </c>
      <c r="K7">
        <f t="shared" si="3"/>
        <v>121</v>
      </c>
      <c r="L7" s="14" t="str">
        <f t="shared" si="2"/>
        <v>B</v>
      </c>
      <c r="M7" t="s">
        <v>27</v>
      </c>
      <c r="N7" t="s">
        <v>60</v>
      </c>
      <c r="O7" t="s">
        <v>28</v>
      </c>
      <c r="R7" t="s">
        <v>52</v>
      </c>
    </row>
    <row r="8" spans="1:18" thickTop="1" thickBot="1">
      <c r="A8" s="16" t="s">
        <v>29</v>
      </c>
      <c r="B8">
        <v>78</v>
      </c>
      <c r="C8">
        <v>77</v>
      </c>
      <c r="D8">
        <v>75</v>
      </c>
      <c r="E8">
        <v>75</v>
      </c>
      <c r="F8">
        <v>81</v>
      </c>
      <c r="G8">
        <v>10</v>
      </c>
      <c r="H8">
        <v>1</v>
      </c>
      <c r="I8">
        <f t="shared" si="0"/>
        <v>77.849999999999994</v>
      </c>
      <c r="J8" s="1">
        <f t="shared" si="1"/>
        <v>77.849999999999994</v>
      </c>
      <c r="K8">
        <f t="shared" si="3"/>
        <v>87</v>
      </c>
      <c r="L8" s="14" t="str">
        <f t="shared" si="2"/>
        <v>A</v>
      </c>
      <c r="M8" t="s">
        <v>28</v>
      </c>
      <c r="N8" t="s">
        <v>24</v>
      </c>
      <c r="O8" t="s">
        <v>35</v>
      </c>
      <c r="P8" s="14">
        <v>1</v>
      </c>
      <c r="R8" t="s">
        <v>52</v>
      </c>
    </row>
    <row r="9" spans="1:18" thickTop="1" thickBot="1">
      <c r="A9" s="16" t="s">
        <v>30</v>
      </c>
      <c r="B9">
        <v>77</v>
      </c>
      <c r="C9">
        <v>66</v>
      </c>
      <c r="D9">
        <v>70</v>
      </c>
      <c r="E9">
        <v>73</v>
      </c>
      <c r="F9">
        <v>73</v>
      </c>
      <c r="G9">
        <v>3</v>
      </c>
      <c r="H9">
        <v>0</v>
      </c>
      <c r="I9">
        <f t="shared" si="0"/>
        <v>71.150000000000006</v>
      </c>
      <c r="J9" s="1">
        <f t="shared" si="1"/>
        <v>71.150000000000006</v>
      </c>
      <c r="K9">
        <f t="shared" si="3"/>
        <v>108</v>
      </c>
      <c r="L9" s="14" t="str">
        <f t="shared" si="2"/>
        <v>A</v>
      </c>
      <c r="M9" t="s">
        <v>28</v>
      </c>
      <c r="N9" t="s">
        <v>60</v>
      </c>
      <c r="O9" t="s">
        <v>24</v>
      </c>
      <c r="R9" t="s">
        <v>52</v>
      </c>
    </row>
    <row r="10" spans="1:18" thickTop="1" thickBot="1">
      <c r="A10" s="16" t="s">
        <v>212</v>
      </c>
      <c r="B10" s="2">
        <v>84</v>
      </c>
      <c r="C10" s="2">
        <v>82</v>
      </c>
      <c r="D10" s="2">
        <v>85</v>
      </c>
      <c r="E10" s="2">
        <v>80</v>
      </c>
      <c r="F10" s="2">
        <v>84</v>
      </c>
      <c r="G10" s="2">
        <v>7</v>
      </c>
      <c r="H10" s="2">
        <v>0</v>
      </c>
      <c r="I10">
        <f t="shared" si="0"/>
        <v>82.3</v>
      </c>
      <c r="J10" s="1">
        <f t="shared" si="1"/>
        <v>82.3</v>
      </c>
      <c r="K10">
        <f t="shared" si="3"/>
        <v>55</v>
      </c>
      <c r="L10" s="14" t="str">
        <f t="shared" si="2"/>
        <v>A+</v>
      </c>
      <c r="M10" t="s">
        <v>32</v>
      </c>
      <c r="N10" t="s">
        <v>35</v>
      </c>
      <c r="O10" t="s">
        <v>28</v>
      </c>
    </row>
    <row r="11" spans="1:18" ht="15" customHeight="1" thickTop="1" thickBot="1">
      <c r="A11" s="16" t="s">
        <v>31</v>
      </c>
      <c r="B11">
        <v>94</v>
      </c>
      <c r="C11">
        <v>92</v>
      </c>
      <c r="D11">
        <v>88</v>
      </c>
      <c r="E11">
        <v>90</v>
      </c>
      <c r="F11">
        <v>94</v>
      </c>
      <c r="G11">
        <v>10</v>
      </c>
      <c r="H11">
        <v>0</v>
      </c>
      <c r="I11">
        <f t="shared" si="0"/>
        <v>90.9</v>
      </c>
      <c r="J11" s="1">
        <f t="shared" si="1"/>
        <v>90.9</v>
      </c>
      <c r="K11">
        <f t="shared" si="3"/>
        <v>13</v>
      </c>
      <c r="L11" s="14" t="str">
        <f t="shared" si="2"/>
        <v>S+</v>
      </c>
      <c r="M11" t="s">
        <v>178</v>
      </c>
      <c r="N11" t="s">
        <v>21</v>
      </c>
      <c r="O11" t="s">
        <v>33</v>
      </c>
      <c r="R11" t="s">
        <v>52</v>
      </c>
    </row>
    <row r="12" spans="1:18" thickTop="1" thickBot="1">
      <c r="A12" s="16" t="s">
        <v>198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>
        <f t="shared" si="0"/>
        <v>3</v>
      </c>
      <c r="J12" s="1">
        <f t="shared" si="1"/>
        <v>3</v>
      </c>
      <c r="K12">
        <f t="shared" si="3"/>
        <v>165</v>
      </c>
      <c r="L12" s="14" t="str">
        <f t="shared" si="2"/>
        <v>D</v>
      </c>
      <c r="M12" s="2"/>
      <c r="N12" s="2"/>
      <c r="O12" s="2"/>
      <c r="P12" s="15"/>
      <c r="Q12" s="15"/>
      <c r="R12" s="2"/>
    </row>
    <row r="13" spans="1:18" thickTop="1" thickBot="1">
      <c r="A13" s="16" t="s">
        <v>34</v>
      </c>
      <c r="B13">
        <v>81</v>
      </c>
      <c r="C13">
        <v>84</v>
      </c>
      <c r="D13">
        <v>82</v>
      </c>
      <c r="E13">
        <v>77</v>
      </c>
      <c r="F13">
        <v>81</v>
      </c>
      <c r="G13">
        <v>9</v>
      </c>
      <c r="H13">
        <v>0</v>
      </c>
      <c r="I13">
        <f t="shared" si="0"/>
        <v>81.05</v>
      </c>
      <c r="J13" s="1">
        <f t="shared" si="1"/>
        <v>81.05</v>
      </c>
      <c r="K13">
        <f t="shared" si="3"/>
        <v>68</v>
      </c>
      <c r="L13" s="14" t="str">
        <f t="shared" si="2"/>
        <v>A+</v>
      </c>
      <c r="M13" t="s">
        <v>35</v>
      </c>
      <c r="N13" t="s">
        <v>24</v>
      </c>
      <c r="O13" t="s">
        <v>28</v>
      </c>
      <c r="P13" s="14">
        <v>2</v>
      </c>
      <c r="R13" t="s">
        <v>52</v>
      </c>
    </row>
    <row r="14" spans="1:18" thickTop="1" thickBot="1">
      <c r="A14" s="16" t="s">
        <v>36</v>
      </c>
      <c r="B14">
        <v>80</v>
      </c>
      <c r="C14">
        <v>76</v>
      </c>
      <c r="D14">
        <v>72</v>
      </c>
      <c r="E14">
        <v>78</v>
      </c>
      <c r="F14">
        <v>68</v>
      </c>
      <c r="G14">
        <v>5</v>
      </c>
      <c r="H14">
        <v>0</v>
      </c>
      <c r="I14">
        <f t="shared" si="0"/>
        <v>75.449999999999989</v>
      </c>
      <c r="J14" s="1">
        <f t="shared" si="1"/>
        <v>75.449999999999989</v>
      </c>
      <c r="K14">
        <f t="shared" si="3"/>
        <v>98</v>
      </c>
      <c r="L14" s="14" t="str">
        <f t="shared" si="2"/>
        <v>A</v>
      </c>
      <c r="M14" t="s">
        <v>21</v>
      </c>
      <c r="N14" t="s">
        <v>20</v>
      </c>
      <c r="O14" t="s">
        <v>19</v>
      </c>
    </row>
    <row r="15" spans="1:18" thickTop="1" thickBot="1">
      <c r="A15" s="16" t="s">
        <v>37</v>
      </c>
      <c r="B15">
        <v>82</v>
      </c>
      <c r="C15">
        <v>83</v>
      </c>
      <c r="D15">
        <v>82</v>
      </c>
      <c r="E15">
        <v>74</v>
      </c>
      <c r="F15">
        <v>80</v>
      </c>
      <c r="G15">
        <v>10</v>
      </c>
      <c r="H15">
        <v>1</v>
      </c>
      <c r="I15">
        <f t="shared" si="0"/>
        <v>81.7</v>
      </c>
      <c r="J15" s="1">
        <f t="shared" si="1"/>
        <v>81.7</v>
      </c>
      <c r="K15">
        <f t="shared" si="3"/>
        <v>61</v>
      </c>
      <c r="L15" s="14" t="str">
        <f t="shared" si="2"/>
        <v>A+</v>
      </c>
      <c r="M15" t="s">
        <v>21</v>
      </c>
      <c r="N15" t="s">
        <v>22</v>
      </c>
      <c r="O15" t="s">
        <v>60</v>
      </c>
      <c r="R15" t="s">
        <v>52</v>
      </c>
    </row>
    <row r="16" spans="1:18" thickTop="1" thickBot="1">
      <c r="A16" s="16" t="s">
        <v>173</v>
      </c>
      <c r="B16">
        <v>82</v>
      </c>
      <c r="C16">
        <v>75</v>
      </c>
      <c r="D16">
        <v>83</v>
      </c>
      <c r="E16">
        <v>81</v>
      </c>
      <c r="F16">
        <v>81</v>
      </c>
      <c r="G16">
        <v>8</v>
      </c>
      <c r="H16">
        <v>0</v>
      </c>
      <c r="I16">
        <f t="shared" si="0"/>
        <v>79.149999999999991</v>
      </c>
      <c r="J16" s="1">
        <f t="shared" si="1"/>
        <v>79.149999999999991</v>
      </c>
      <c r="K16">
        <f t="shared" si="3"/>
        <v>80</v>
      </c>
      <c r="L16" s="14" t="str">
        <f t="shared" si="2"/>
        <v>A</v>
      </c>
      <c r="M16" t="s">
        <v>28</v>
      </c>
      <c r="N16" t="s">
        <v>40</v>
      </c>
      <c r="O16" t="s">
        <v>35</v>
      </c>
      <c r="R16" t="s">
        <v>52</v>
      </c>
    </row>
    <row r="17" spans="1:18" thickTop="1" thickBot="1">
      <c r="A17" s="16" t="s">
        <v>38</v>
      </c>
      <c r="B17">
        <v>72</v>
      </c>
      <c r="C17">
        <v>75</v>
      </c>
      <c r="D17">
        <v>71</v>
      </c>
      <c r="E17">
        <v>80</v>
      </c>
      <c r="F17">
        <v>70</v>
      </c>
      <c r="G17">
        <v>2</v>
      </c>
      <c r="H17">
        <v>0</v>
      </c>
      <c r="I17">
        <f t="shared" si="0"/>
        <v>72.849999999999994</v>
      </c>
      <c r="J17" s="1">
        <f t="shared" si="1"/>
        <v>72.849999999999994</v>
      </c>
      <c r="K17">
        <f t="shared" si="3"/>
        <v>106</v>
      </c>
      <c r="L17" s="14" t="str">
        <f t="shared" si="2"/>
        <v>A</v>
      </c>
    </row>
    <row r="18" spans="1:18" thickTop="1" thickBot="1">
      <c r="A18" s="16" t="s">
        <v>39</v>
      </c>
      <c r="B18">
        <v>84</v>
      </c>
      <c r="C18">
        <v>84</v>
      </c>
      <c r="D18">
        <v>82</v>
      </c>
      <c r="E18">
        <v>84</v>
      </c>
      <c r="F18">
        <v>82</v>
      </c>
      <c r="G18">
        <v>6</v>
      </c>
      <c r="H18">
        <v>0</v>
      </c>
      <c r="I18">
        <f t="shared" si="0"/>
        <v>82.6</v>
      </c>
      <c r="J18" s="1">
        <f t="shared" si="1"/>
        <v>82.6</v>
      </c>
      <c r="K18">
        <f t="shared" si="3"/>
        <v>52</v>
      </c>
      <c r="L18" s="14" t="str">
        <f t="shared" si="2"/>
        <v>A+</v>
      </c>
      <c r="M18" t="s">
        <v>24</v>
      </c>
      <c r="N18" t="s">
        <v>33</v>
      </c>
      <c r="O18" t="s">
        <v>40</v>
      </c>
      <c r="R18" t="s">
        <v>52</v>
      </c>
    </row>
    <row r="19" spans="1:18" thickTop="1" thickBot="1">
      <c r="A19" s="16" t="s">
        <v>41</v>
      </c>
      <c r="B19">
        <v>83</v>
      </c>
      <c r="C19">
        <v>95</v>
      </c>
      <c r="D19">
        <v>80</v>
      </c>
      <c r="E19">
        <v>85</v>
      </c>
      <c r="F19">
        <v>93</v>
      </c>
      <c r="G19">
        <v>8</v>
      </c>
      <c r="H19">
        <v>0</v>
      </c>
      <c r="I19">
        <f t="shared" si="0"/>
        <v>86.600000000000009</v>
      </c>
      <c r="J19" s="1">
        <f t="shared" si="1"/>
        <v>86.600000000000009</v>
      </c>
      <c r="K19">
        <f t="shared" si="3"/>
        <v>26</v>
      </c>
      <c r="L19" s="14" t="str">
        <f t="shared" si="2"/>
        <v>S</v>
      </c>
      <c r="M19" t="s">
        <v>33</v>
      </c>
      <c r="N19" t="s">
        <v>22</v>
      </c>
    </row>
    <row r="20" spans="1:18" s="2" customFormat="1" thickTop="1" thickBot="1">
      <c r="A20" s="16" t="s">
        <v>42</v>
      </c>
      <c r="B20">
        <v>84</v>
      </c>
      <c r="C20">
        <v>85</v>
      </c>
      <c r="D20">
        <v>85</v>
      </c>
      <c r="E20">
        <v>82</v>
      </c>
      <c r="F20">
        <v>86</v>
      </c>
      <c r="G20">
        <v>10</v>
      </c>
      <c r="H20">
        <v>0</v>
      </c>
      <c r="I20">
        <f t="shared" si="0"/>
        <v>83.75</v>
      </c>
      <c r="J20" s="1">
        <f t="shared" si="1"/>
        <v>83.75</v>
      </c>
      <c r="K20">
        <f t="shared" si="3"/>
        <v>44</v>
      </c>
      <c r="L20" s="14" t="str">
        <f t="shared" si="2"/>
        <v>A+</v>
      </c>
      <c r="M20" t="s">
        <v>28</v>
      </c>
      <c r="N20" t="s">
        <v>27</v>
      </c>
      <c r="O20" t="s">
        <v>24</v>
      </c>
      <c r="P20" s="14"/>
      <c r="Q20" s="14">
        <v>3</v>
      </c>
      <c r="R20" t="s">
        <v>52</v>
      </c>
    </row>
    <row r="21" spans="1:18" s="2" customFormat="1" thickTop="1" thickBot="1">
      <c r="A21" s="16" t="s">
        <v>43</v>
      </c>
      <c r="B21">
        <v>42</v>
      </c>
      <c r="C21">
        <v>37</v>
      </c>
      <c r="D21">
        <v>49</v>
      </c>
      <c r="E21">
        <v>38</v>
      </c>
      <c r="F21">
        <v>40</v>
      </c>
      <c r="G21">
        <v>10</v>
      </c>
      <c r="H21">
        <v>0</v>
      </c>
      <c r="I21">
        <f t="shared" si="0"/>
        <v>42.349999999999994</v>
      </c>
      <c r="J21" s="1">
        <f t="shared" si="1"/>
        <v>42.349999999999994</v>
      </c>
      <c r="K21">
        <f t="shared" si="3"/>
        <v>151</v>
      </c>
      <c r="L21" s="14" t="str">
        <f t="shared" si="2"/>
        <v>D</v>
      </c>
      <c r="M21"/>
      <c r="N21"/>
      <c r="O21"/>
      <c r="P21" s="14"/>
      <c r="Q21" s="14"/>
      <c r="R21"/>
    </row>
    <row r="22" spans="1:18" thickTop="1" thickBot="1">
      <c r="A22" s="16" t="s">
        <v>44</v>
      </c>
      <c r="B22">
        <v>68</v>
      </c>
      <c r="C22">
        <v>42</v>
      </c>
      <c r="D22">
        <v>0</v>
      </c>
      <c r="E22">
        <v>0</v>
      </c>
      <c r="F22">
        <v>0</v>
      </c>
      <c r="G22">
        <v>10</v>
      </c>
      <c r="H22">
        <v>0</v>
      </c>
      <c r="I22">
        <f t="shared" si="0"/>
        <v>36.5</v>
      </c>
      <c r="J22" s="1">
        <f t="shared" si="1"/>
        <v>36.5</v>
      </c>
      <c r="K22">
        <f t="shared" si="3"/>
        <v>157</v>
      </c>
      <c r="L22" s="14" t="str">
        <f t="shared" si="2"/>
        <v>D</v>
      </c>
    </row>
    <row r="23" spans="1:18" thickTop="1" thickBot="1">
      <c r="A23" s="16" t="s">
        <v>45</v>
      </c>
      <c r="B23" s="2">
        <v>37</v>
      </c>
      <c r="C23" s="2">
        <v>55</v>
      </c>
      <c r="D23" s="2">
        <v>49</v>
      </c>
      <c r="E23" s="2">
        <v>50</v>
      </c>
      <c r="F23" s="2">
        <v>61</v>
      </c>
      <c r="G23" s="2">
        <v>1</v>
      </c>
      <c r="H23" s="2">
        <v>0</v>
      </c>
      <c r="I23">
        <f t="shared" si="0"/>
        <v>49.1</v>
      </c>
      <c r="J23" s="1">
        <f t="shared" si="1"/>
        <v>49.1</v>
      </c>
      <c r="K23">
        <f t="shared" si="3"/>
        <v>137</v>
      </c>
      <c r="L23" s="14" t="str">
        <f t="shared" si="2"/>
        <v>D</v>
      </c>
      <c r="M23" s="2" t="s">
        <v>73</v>
      </c>
      <c r="N23" s="2" t="s">
        <v>28</v>
      </c>
      <c r="O23" s="2" t="s">
        <v>24</v>
      </c>
      <c r="P23" s="15"/>
      <c r="Q23" s="15"/>
      <c r="R23" s="2" t="s">
        <v>52</v>
      </c>
    </row>
    <row r="24" spans="1:18" thickTop="1" thickBot="1">
      <c r="A24" s="16" t="s">
        <v>196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>
        <f t="shared" si="0"/>
        <v>3</v>
      </c>
      <c r="J24" s="1">
        <f t="shared" si="1"/>
        <v>3</v>
      </c>
      <c r="K24">
        <f t="shared" si="3"/>
        <v>165</v>
      </c>
      <c r="L24" s="14" t="str">
        <f t="shared" si="2"/>
        <v>D</v>
      </c>
      <c r="M24" s="2"/>
      <c r="N24" s="2"/>
      <c r="O24" s="2"/>
      <c r="P24" s="15"/>
      <c r="Q24" s="15"/>
      <c r="R24" s="2"/>
    </row>
    <row r="25" spans="1:18" thickTop="1" thickBot="1">
      <c r="A25" s="16" t="s">
        <v>46</v>
      </c>
      <c r="B25">
        <v>87</v>
      </c>
      <c r="C25">
        <v>92</v>
      </c>
      <c r="D25">
        <v>90</v>
      </c>
      <c r="E25">
        <v>93</v>
      </c>
      <c r="F25">
        <v>91</v>
      </c>
      <c r="G25">
        <v>10</v>
      </c>
      <c r="H25">
        <v>0</v>
      </c>
      <c r="I25">
        <f t="shared" si="0"/>
        <v>89.09999999999998</v>
      </c>
      <c r="J25" s="1">
        <f t="shared" si="1"/>
        <v>89.09999999999998</v>
      </c>
      <c r="K25">
        <f t="shared" si="3"/>
        <v>17</v>
      </c>
      <c r="L25" s="14" t="str">
        <f t="shared" si="2"/>
        <v>S</v>
      </c>
      <c r="M25" t="s">
        <v>22</v>
      </c>
      <c r="N25" t="s">
        <v>33</v>
      </c>
      <c r="O25" t="s">
        <v>24</v>
      </c>
      <c r="P25" s="14">
        <v>2</v>
      </c>
    </row>
    <row r="26" spans="1:18" thickTop="1" thickBot="1">
      <c r="A26" s="16" t="s">
        <v>187</v>
      </c>
      <c r="B26">
        <v>70</v>
      </c>
      <c r="C26">
        <v>76</v>
      </c>
      <c r="D26">
        <v>75</v>
      </c>
      <c r="E26">
        <v>75</v>
      </c>
      <c r="F26">
        <v>81</v>
      </c>
      <c r="G26">
        <v>3</v>
      </c>
      <c r="H26">
        <v>0</v>
      </c>
      <c r="I26">
        <f t="shared" si="0"/>
        <v>73.8</v>
      </c>
      <c r="J26" s="1">
        <f t="shared" si="1"/>
        <v>73.8</v>
      </c>
      <c r="K26">
        <f t="shared" si="3"/>
        <v>103</v>
      </c>
      <c r="L26" s="14" t="str">
        <f t="shared" si="2"/>
        <v>A</v>
      </c>
      <c r="M26" t="s">
        <v>67</v>
      </c>
      <c r="N26" t="s">
        <v>73</v>
      </c>
      <c r="O26" t="s">
        <v>28</v>
      </c>
      <c r="R26" t="s">
        <v>52</v>
      </c>
    </row>
    <row r="27" spans="1:18" thickTop="1" thickBot="1">
      <c r="A27" s="16" t="s">
        <v>47</v>
      </c>
      <c r="B27">
        <v>61</v>
      </c>
      <c r="C27">
        <v>59</v>
      </c>
      <c r="D27">
        <v>62</v>
      </c>
      <c r="E27">
        <v>56</v>
      </c>
      <c r="F27">
        <v>60</v>
      </c>
      <c r="G27">
        <v>3</v>
      </c>
      <c r="H27">
        <v>0</v>
      </c>
      <c r="I27">
        <f t="shared" si="0"/>
        <v>60.05</v>
      </c>
      <c r="J27" s="1">
        <f t="shared" si="1"/>
        <v>60.05</v>
      </c>
      <c r="K27">
        <f t="shared" si="3"/>
        <v>124</v>
      </c>
      <c r="L27" s="14" t="str">
        <f t="shared" si="2"/>
        <v>B</v>
      </c>
      <c r="M27" t="s">
        <v>20</v>
      </c>
      <c r="N27" t="s">
        <v>19</v>
      </c>
      <c r="O27" t="s">
        <v>21</v>
      </c>
    </row>
    <row r="28" spans="1:18" thickTop="1" thickBot="1">
      <c r="A28" s="16" t="s">
        <v>48</v>
      </c>
      <c r="B28">
        <v>71</v>
      </c>
      <c r="C28">
        <v>72</v>
      </c>
      <c r="D28">
        <v>68</v>
      </c>
      <c r="E28">
        <v>70</v>
      </c>
      <c r="F28">
        <v>62</v>
      </c>
      <c r="G28">
        <v>5</v>
      </c>
      <c r="H28">
        <v>6</v>
      </c>
      <c r="I28">
        <f t="shared" si="0"/>
        <v>75.55</v>
      </c>
      <c r="J28" s="1">
        <f t="shared" si="1"/>
        <v>75.55</v>
      </c>
      <c r="K28">
        <f t="shared" si="3"/>
        <v>97</v>
      </c>
      <c r="L28" s="14" t="str">
        <f t="shared" si="2"/>
        <v>A</v>
      </c>
      <c r="M28" t="s">
        <v>19</v>
      </c>
      <c r="N28" t="s">
        <v>20</v>
      </c>
      <c r="O28" t="s">
        <v>22</v>
      </c>
      <c r="R28" t="s">
        <v>52</v>
      </c>
    </row>
    <row r="29" spans="1:18" thickTop="1" thickBot="1">
      <c r="A29" s="16" t="s">
        <v>214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>
        <f t="shared" si="0"/>
        <v>3</v>
      </c>
      <c r="J29" s="1">
        <f t="shared" si="1"/>
        <v>3</v>
      </c>
      <c r="K29">
        <f t="shared" si="3"/>
        <v>165</v>
      </c>
      <c r="L29" s="14" t="str">
        <f t="shared" si="2"/>
        <v>D</v>
      </c>
    </row>
    <row r="30" spans="1:18" thickTop="1" thickBot="1">
      <c r="A30" s="16" t="s">
        <v>49</v>
      </c>
      <c r="B30">
        <v>70</v>
      </c>
      <c r="C30">
        <v>67</v>
      </c>
      <c r="D30">
        <v>72</v>
      </c>
      <c r="E30">
        <v>54</v>
      </c>
      <c r="F30">
        <v>68</v>
      </c>
      <c r="G30">
        <v>8</v>
      </c>
      <c r="H30">
        <v>0</v>
      </c>
      <c r="I30">
        <f t="shared" si="0"/>
        <v>67.5</v>
      </c>
      <c r="J30" s="1">
        <f t="shared" si="1"/>
        <v>67.5</v>
      </c>
      <c r="K30">
        <f t="shared" si="3"/>
        <v>118</v>
      </c>
      <c r="L30" s="14" t="str">
        <f t="shared" si="2"/>
        <v>B</v>
      </c>
      <c r="M30" t="s">
        <v>67</v>
      </c>
      <c r="N30" t="s">
        <v>60</v>
      </c>
      <c r="O30" t="s">
        <v>19</v>
      </c>
      <c r="R30" t="s">
        <v>52</v>
      </c>
    </row>
    <row r="31" spans="1:18" thickTop="1" thickBot="1">
      <c r="A31" s="16" t="s">
        <v>207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>
        <f t="shared" si="0"/>
        <v>3</v>
      </c>
      <c r="J31" s="1">
        <f t="shared" si="1"/>
        <v>3</v>
      </c>
      <c r="K31">
        <f t="shared" si="3"/>
        <v>165</v>
      </c>
      <c r="L31" s="14" t="str">
        <f t="shared" si="2"/>
        <v>D</v>
      </c>
    </row>
    <row r="32" spans="1:18" thickTop="1" thickBot="1">
      <c r="A32" s="16" t="s">
        <v>50</v>
      </c>
      <c r="B32">
        <v>45</v>
      </c>
      <c r="C32">
        <v>33</v>
      </c>
      <c r="D32">
        <v>36</v>
      </c>
      <c r="E32">
        <v>41</v>
      </c>
      <c r="F32">
        <v>61</v>
      </c>
      <c r="G32">
        <v>10</v>
      </c>
      <c r="H32">
        <v>0</v>
      </c>
      <c r="I32">
        <f t="shared" si="0"/>
        <v>42.5</v>
      </c>
      <c r="J32" s="1">
        <f t="shared" si="1"/>
        <v>42.5</v>
      </c>
      <c r="K32">
        <f t="shared" si="3"/>
        <v>150</v>
      </c>
      <c r="L32" s="14" t="str">
        <f t="shared" si="2"/>
        <v>D</v>
      </c>
      <c r="P32" s="14">
        <v>6</v>
      </c>
    </row>
    <row r="33" spans="1:18" thickTop="1" thickBot="1">
      <c r="A33" s="16" t="s">
        <v>51</v>
      </c>
      <c r="B33">
        <v>71</v>
      </c>
      <c r="C33">
        <v>65</v>
      </c>
      <c r="D33">
        <v>67</v>
      </c>
      <c r="E33">
        <v>75</v>
      </c>
      <c r="F33">
        <v>62</v>
      </c>
      <c r="G33">
        <v>5</v>
      </c>
      <c r="H33">
        <v>0</v>
      </c>
      <c r="I33">
        <f t="shared" si="0"/>
        <v>67.8</v>
      </c>
      <c r="J33" s="1">
        <f t="shared" si="1"/>
        <v>67.8</v>
      </c>
      <c r="K33">
        <f t="shared" si="3"/>
        <v>117</v>
      </c>
      <c r="L33" s="14" t="str">
        <f t="shared" si="2"/>
        <v>B</v>
      </c>
      <c r="M33" t="s">
        <v>20</v>
      </c>
      <c r="N33" t="s">
        <v>19</v>
      </c>
      <c r="R33" t="s">
        <v>52</v>
      </c>
    </row>
    <row r="34" spans="1:18" thickTop="1" thickBot="1">
      <c r="A34" s="16" t="s">
        <v>53</v>
      </c>
      <c r="B34">
        <v>70</v>
      </c>
      <c r="C34">
        <v>64</v>
      </c>
      <c r="D34">
        <v>53</v>
      </c>
      <c r="E34">
        <v>77</v>
      </c>
      <c r="F34">
        <v>71</v>
      </c>
      <c r="G34">
        <v>3</v>
      </c>
      <c r="H34">
        <v>0</v>
      </c>
      <c r="I34">
        <f t="shared" ref="I34:I65" si="4">(AVERAGE(B34*0.3,C34*0.3,D34*0.15,E34*0.1,F34*0.1,G34*0.05)*6)+3+H34</f>
        <v>66.100000000000009</v>
      </c>
      <c r="J34" s="1">
        <f t="shared" ref="J34:J65" si="5">(AVERAGE(B34*0.3,C34*0.3,D34*0.15,E34*0.1,F34*0.1,G34*0.05)*6)+3+H34</f>
        <v>66.100000000000009</v>
      </c>
      <c r="K34">
        <f t="shared" ref="K34:K65" si="6">IF(I34&lt;&gt;"", RANK(I34, I:I, 0), "")</f>
        <v>119</v>
      </c>
      <c r="L34" s="14" t="str">
        <f t="shared" ref="L34:L65" si="7">IF(I34&gt;=89.5,"S+",IF(I34&gt;=84.5,"S",IF(I34&gt;=79.5,"A+",IF(I34&gt;=69.5,"A",IF(I34&gt;=59.5,"B",IF(I34&gt;=49.5,"C","D"))))))</f>
        <v>B</v>
      </c>
      <c r="M34" t="s">
        <v>20</v>
      </c>
      <c r="N34" t="s">
        <v>19</v>
      </c>
      <c r="O34" t="s">
        <v>153</v>
      </c>
    </row>
    <row r="35" spans="1:18" thickTop="1" thickBot="1">
      <c r="A35" s="16" t="s">
        <v>54</v>
      </c>
      <c r="B35">
        <v>71</v>
      </c>
      <c r="C35">
        <v>75</v>
      </c>
      <c r="D35">
        <v>82</v>
      </c>
      <c r="E35">
        <v>79</v>
      </c>
      <c r="F35">
        <v>78</v>
      </c>
      <c r="G35">
        <v>7</v>
      </c>
      <c r="H35">
        <v>0</v>
      </c>
      <c r="I35">
        <f t="shared" si="4"/>
        <v>75.149999999999991</v>
      </c>
      <c r="J35" s="1">
        <f t="shared" si="5"/>
        <v>75.149999999999991</v>
      </c>
      <c r="K35">
        <f t="shared" si="6"/>
        <v>100</v>
      </c>
      <c r="L35" s="14" t="str">
        <f t="shared" si="7"/>
        <v>A</v>
      </c>
      <c r="M35" t="s">
        <v>19</v>
      </c>
      <c r="N35" t="s">
        <v>24</v>
      </c>
      <c r="O35" t="s">
        <v>20</v>
      </c>
    </row>
    <row r="36" spans="1:18" thickTop="1" thickBot="1">
      <c r="A36" s="16" t="s">
        <v>55</v>
      </c>
      <c r="B36">
        <v>85</v>
      </c>
      <c r="C36">
        <v>82</v>
      </c>
      <c r="D36">
        <v>80</v>
      </c>
      <c r="E36">
        <v>82</v>
      </c>
      <c r="F36">
        <v>85</v>
      </c>
      <c r="G36">
        <v>9</v>
      </c>
      <c r="H36">
        <v>2</v>
      </c>
      <c r="I36">
        <f t="shared" si="4"/>
        <v>84.25</v>
      </c>
      <c r="J36" s="1">
        <f t="shared" si="5"/>
        <v>84.25</v>
      </c>
      <c r="K36">
        <f t="shared" si="6"/>
        <v>42</v>
      </c>
      <c r="L36" s="14" t="str">
        <f t="shared" si="7"/>
        <v>A+</v>
      </c>
      <c r="M36" t="s">
        <v>35</v>
      </c>
      <c r="N36" t="s">
        <v>24</v>
      </c>
      <c r="O36" t="s">
        <v>32</v>
      </c>
      <c r="R36" t="s">
        <v>52</v>
      </c>
    </row>
    <row r="37" spans="1:18" thickTop="1" thickBot="1">
      <c r="A37" s="16" t="s">
        <v>56</v>
      </c>
      <c r="B37">
        <v>47</v>
      </c>
      <c r="C37">
        <v>72</v>
      </c>
      <c r="D37">
        <v>0</v>
      </c>
      <c r="E37">
        <v>0</v>
      </c>
      <c r="F37">
        <v>0</v>
      </c>
      <c r="G37">
        <v>0</v>
      </c>
      <c r="H37">
        <v>0</v>
      </c>
      <c r="I37">
        <f t="shared" si="4"/>
        <v>38.699999999999996</v>
      </c>
      <c r="J37" s="1">
        <f t="shared" si="5"/>
        <v>38.699999999999996</v>
      </c>
      <c r="K37">
        <f t="shared" si="6"/>
        <v>156</v>
      </c>
      <c r="L37" s="14" t="str">
        <f t="shared" si="7"/>
        <v>D</v>
      </c>
    </row>
    <row r="38" spans="1:18" thickTop="1" thickBot="1">
      <c r="A38" s="16" t="s">
        <v>57</v>
      </c>
      <c r="B38">
        <v>72</v>
      </c>
      <c r="C38">
        <v>74</v>
      </c>
      <c r="D38">
        <v>67</v>
      </c>
      <c r="E38">
        <v>70</v>
      </c>
      <c r="F38">
        <v>65</v>
      </c>
      <c r="G38">
        <v>5</v>
      </c>
      <c r="H38">
        <v>0</v>
      </c>
      <c r="I38">
        <f t="shared" si="4"/>
        <v>70.599999999999994</v>
      </c>
      <c r="J38" s="1">
        <f t="shared" si="5"/>
        <v>70.599999999999994</v>
      </c>
      <c r="K38">
        <f t="shared" si="6"/>
        <v>111</v>
      </c>
      <c r="L38" s="14" t="str">
        <f t="shared" si="7"/>
        <v>A</v>
      </c>
    </row>
    <row r="39" spans="1:18" thickTop="1" thickBot="1">
      <c r="A39" s="16" t="s">
        <v>58</v>
      </c>
      <c r="B39">
        <v>34</v>
      </c>
      <c r="C39">
        <v>49</v>
      </c>
      <c r="D39">
        <v>43</v>
      </c>
      <c r="E39">
        <v>33</v>
      </c>
      <c r="F39">
        <v>40</v>
      </c>
      <c r="G39">
        <v>1</v>
      </c>
      <c r="H39">
        <v>0</v>
      </c>
      <c r="I39">
        <f t="shared" si="4"/>
        <v>41.699999999999996</v>
      </c>
      <c r="J39" s="1">
        <f t="shared" si="5"/>
        <v>41.699999999999996</v>
      </c>
      <c r="K39">
        <f t="shared" si="6"/>
        <v>153</v>
      </c>
      <c r="L39" s="14" t="str">
        <f t="shared" si="7"/>
        <v>D</v>
      </c>
      <c r="R39" t="s">
        <v>52</v>
      </c>
    </row>
    <row r="40" spans="1:18" thickTop="1" thickBot="1">
      <c r="A40" s="16" t="s">
        <v>59</v>
      </c>
      <c r="B40">
        <v>82</v>
      </c>
      <c r="C40">
        <v>81</v>
      </c>
      <c r="D40">
        <v>80</v>
      </c>
      <c r="E40">
        <v>82</v>
      </c>
      <c r="F40">
        <v>83</v>
      </c>
      <c r="G40">
        <v>7</v>
      </c>
      <c r="H40">
        <v>0</v>
      </c>
      <c r="I40">
        <f t="shared" si="4"/>
        <v>80.749999999999986</v>
      </c>
      <c r="J40" s="1">
        <f t="shared" si="5"/>
        <v>80.749999999999986</v>
      </c>
      <c r="K40">
        <f t="shared" si="6"/>
        <v>71</v>
      </c>
      <c r="L40" s="14" t="str">
        <f t="shared" si="7"/>
        <v>A+</v>
      </c>
      <c r="M40" t="s">
        <v>19</v>
      </c>
      <c r="N40" t="s">
        <v>60</v>
      </c>
      <c r="O40" t="s">
        <v>40</v>
      </c>
      <c r="R40" t="s">
        <v>52</v>
      </c>
    </row>
    <row r="41" spans="1:18" thickTop="1" thickBot="1">
      <c r="A41" s="16" t="s">
        <v>61</v>
      </c>
      <c r="B41">
        <v>84</v>
      </c>
      <c r="C41">
        <v>81</v>
      </c>
      <c r="D41">
        <v>79</v>
      </c>
      <c r="E41">
        <v>73</v>
      </c>
      <c r="F41">
        <v>82</v>
      </c>
      <c r="G41">
        <v>9</v>
      </c>
      <c r="H41">
        <v>2</v>
      </c>
      <c r="I41">
        <f t="shared" si="4"/>
        <v>82.300000000000011</v>
      </c>
      <c r="J41" s="1">
        <f t="shared" si="5"/>
        <v>82.300000000000011</v>
      </c>
      <c r="K41">
        <f t="shared" si="6"/>
        <v>54</v>
      </c>
      <c r="L41" s="14" t="str">
        <f t="shared" si="7"/>
        <v>A+</v>
      </c>
      <c r="M41" t="s">
        <v>24</v>
      </c>
      <c r="N41" t="s">
        <v>28</v>
      </c>
      <c r="O41" t="s">
        <v>35</v>
      </c>
      <c r="R41" t="s">
        <v>52</v>
      </c>
    </row>
    <row r="42" spans="1:18" thickTop="1" thickBot="1">
      <c r="A42" s="16" t="s">
        <v>62</v>
      </c>
      <c r="B42">
        <v>75</v>
      </c>
      <c r="C42">
        <v>84</v>
      </c>
      <c r="D42">
        <v>74</v>
      </c>
      <c r="E42">
        <v>83</v>
      </c>
      <c r="F42">
        <v>76</v>
      </c>
      <c r="G42">
        <v>10</v>
      </c>
      <c r="H42">
        <v>1</v>
      </c>
      <c r="I42">
        <f t="shared" si="4"/>
        <v>79.2</v>
      </c>
      <c r="J42" s="1">
        <f t="shared" si="5"/>
        <v>79.2</v>
      </c>
      <c r="K42">
        <f t="shared" si="6"/>
        <v>79</v>
      </c>
      <c r="L42" s="14" t="str">
        <f t="shared" si="7"/>
        <v>A</v>
      </c>
      <c r="M42" t="s">
        <v>60</v>
      </c>
      <c r="N42" t="s">
        <v>35</v>
      </c>
      <c r="O42" t="s">
        <v>21</v>
      </c>
      <c r="P42" s="14">
        <v>6</v>
      </c>
      <c r="Q42" s="14" t="s">
        <v>183</v>
      </c>
      <c r="R42" t="s">
        <v>52</v>
      </c>
    </row>
    <row r="43" spans="1:18" thickTop="1" thickBot="1">
      <c r="A43" s="16" t="s">
        <v>63</v>
      </c>
      <c r="B43">
        <v>84</v>
      </c>
      <c r="C43">
        <v>84</v>
      </c>
      <c r="D43">
        <v>78</v>
      </c>
      <c r="E43">
        <v>81</v>
      </c>
      <c r="F43">
        <v>82</v>
      </c>
      <c r="G43">
        <v>8</v>
      </c>
      <c r="H43">
        <v>3</v>
      </c>
      <c r="I43">
        <f t="shared" si="4"/>
        <v>84.8</v>
      </c>
      <c r="J43" s="1">
        <f t="shared" si="5"/>
        <v>84.8</v>
      </c>
      <c r="K43">
        <f t="shared" si="6"/>
        <v>38</v>
      </c>
      <c r="L43" s="14" t="str">
        <f t="shared" si="7"/>
        <v>S</v>
      </c>
      <c r="M43" t="s">
        <v>32</v>
      </c>
      <c r="N43" t="s">
        <v>35</v>
      </c>
      <c r="O43" t="s">
        <v>24</v>
      </c>
      <c r="R43" t="s">
        <v>52</v>
      </c>
    </row>
    <row r="44" spans="1:18" thickTop="1" thickBot="1">
      <c r="A44" s="16" t="s">
        <v>177</v>
      </c>
      <c r="B44">
        <v>82</v>
      </c>
      <c r="C44">
        <v>82</v>
      </c>
      <c r="D44">
        <v>78</v>
      </c>
      <c r="E44">
        <v>80</v>
      </c>
      <c r="F44">
        <v>81</v>
      </c>
      <c r="G44">
        <v>8</v>
      </c>
      <c r="H44">
        <v>3</v>
      </c>
      <c r="I44">
        <f t="shared" si="4"/>
        <v>83.399999999999991</v>
      </c>
      <c r="J44" s="1">
        <f t="shared" si="5"/>
        <v>83.399999999999991</v>
      </c>
      <c r="K44">
        <f t="shared" si="6"/>
        <v>48</v>
      </c>
      <c r="L44" s="14" t="str">
        <f t="shared" si="7"/>
        <v>A+</v>
      </c>
      <c r="M44" t="s">
        <v>19</v>
      </c>
      <c r="N44" t="s">
        <v>21</v>
      </c>
      <c r="O44" t="s">
        <v>35</v>
      </c>
      <c r="R44" t="s">
        <v>52</v>
      </c>
    </row>
    <row r="45" spans="1:18" thickTop="1" thickBot="1">
      <c r="A45" s="16" t="s">
        <v>64</v>
      </c>
      <c r="B45">
        <v>88</v>
      </c>
      <c r="C45">
        <v>86</v>
      </c>
      <c r="D45">
        <v>87</v>
      </c>
      <c r="E45">
        <v>85</v>
      </c>
      <c r="F45">
        <v>89</v>
      </c>
      <c r="G45">
        <v>10</v>
      </c>
      <c r="H45">
        <v>2</v>
      </c>
      <c r="I45">
        <f t="shared" si="4"/>
        <v>88.15</v>
      </c>
      <c r="J45" s="1">
        <f t="shared" si="5"/>
        <v>88.15</v>
      </c>
      <c r="K45">
        <f t="shared" si="6"/>
        <v>19</v>
      </c>
      <c r="L45" s="14" t="str">
        <f t="shared" si="7"/>
        <v>S</v>
      </c>
      <c r="M45" t="s">
        <v>33</v>
      </c>
      <c r="N45" t="s">
        <v>24</v>
      </c>
      <c r="O45" t="s">
        <v>35</v>
      </c>
      <c r="R45" t="s">
        <v>52</v>
      </c>
    </row>
    <row r="46" spans="1:18" thickTop="1" thickBot="1">
      <c r="A46" s="16" t="s">
        <v>65</v>
      </c>
      <c r="B46">
        <v>50</v>
      </c>
      <c r="C46">
        <v>53</v>
      </c>
      <c r="D46">
        <v>62</v>
      </c>
      <c r="E46">
        <v>68</v>
      </c>
      <c r="F46">
        <v>70</v>
      </c>
      <c r="G46">
        <v>4</v>
      </c>
      <c r="H46">
        <v>0</v>
      </c>
      <c r="I46">
        <f t="shared" si="4"/>
        <v>57.2</v>
      </c>
      <c r="J46" s="1">
        <f t="shared" si="5"/>
        <v>57.2</v>
      </c>
      <c r="K46">
        <f t="shared" si="6"/>
        <v>127</v>
      </c>
      <c r="L46" s="14" t="str">
        <f t="shared" si="7"/>
        <v>C</v>
      </c>
      <c r="R46" t="s">
        <v>52</v>
      </c>
    </row>
    <row r="47" spans="1:18" thickTop="1" thickBot="1">
      <c r="A47" s="16" t="s">
        <v>66</v>
      </c>
      <c r="B47">
        <v>80</v>
      </c>
      <c r="C47">
        <v>82</v>
      </c>
      <c r="D47">
        <v>84</v>
      </c>
      <c r="E47">
        <v>79</v>
      </c>
      <c r="F47">
        <v>85</v>
      </c>
      <c r="G47">
        <v>10</v>
      </c>
      <c r="H47">
        <v>0</v>
      </c>
      <c r="I47">
        <f t="shared" si="4"/>
        <v>81.099999999999994</v>
      </c>
      <c r="J47" s="1">
        <f t="shared" si="5"/>
        <v>81.099999999999994</v>
      </c>
      <c r="K47">
        <f t="shared" si="6"/>
        <v>67</v>
      </c>
      <c r="L47" s="14" t="str">
        <f t="shared" si="7"/>
        <v>A+</v>
      </c>
      <c r="M47" t="s">
        <v>24</v>
      </c>
      <c r="N47" t="s">
        <v>35</v>
      </c>
      <c r="O47" t="s">
        <v>67</v>
      </c>
      <c r="Q47" s="14">
        <v>3</v>
      </c>
      <c r="R47" t="s">
        <v>52</v>
      </c>
    </row>
    <row r="48" spans="1:18" thickTop="1" thickBot="1">
      <c r="A48" s="16" t="s">
        <v>68</v>
      </c>
      <c r="B48">
        <v>66</v>
      </c>
      <c r="C48">
        <v>65</v>
      </c>
      <c r="D48">
        <v>54</v>
      </c>
      <c r="E48">
        <v>62</v>
      </c>
      <c r="F48">
        <v>68</v>
      </c>
      <c r="G48">
        <v>3</v>
      </c>
      <c r="H48">
        <v>0</v>
      </c>
      <c r="I48">
        <f t="shared" si="4"/>
        <v>63.55</v>
      </c>
      <c r="J48" s="1">
        <f t="shared" si="5"/>
        <v>63.55</v>
      </c>
      <c r="K48">
        <f t="shared" si="6"/>
        <v>122</v>
      </c>
      <c r="L48" s="14" t="str">
        <f t="shared" si="7"/>
        <v>B</v>
      </c>
      <c r="M48" t="s">
        <v>19</v>
      </c>
    </row>
    <row r="49" spans="1:18" thickTop="1" thickBot="1">
      <c r="A49" s="16" t="s">
        <v>69</v>
      </c>
      <c r="B49">
        <v>82</v>
      </c>
      <c r="C49">
        <v>83</v>
      </c>
      <c r="D49">
        <v>82</v>
      </c>
      <c r="E49">
        <v>85</v>
      </c>
      <c r="F49">
        <v>80</v>
      </c>
      <c r="G49">
        <v>7</v>
      </c>
      <c r="H49">
        <v>0</v>
      </c>
      <c r="I49">
        <f t="shared" si="4"/>
        <v>81.649999999999991</v>
      </c>
      <c r="J49" s="1">
        <f t="shared" si="5"/>
        <v>81.649999999999991</v>
      </c>
      <c r="K49">
        <f t="shared" si="6"/>
        <v>63</v>
      </c>
      <c r="L49" s="14" t="str">
        <f t="shared" si="7"/>
        <v>A+</v>
      </c>
      <c r="M49" t="s">
        <v>70</v>
      </c>
      <c r="N49" t="s">
        <v>28</v>
      </c>
    </row>
    <row r="50" spans="1:18" thickTop="1" thickBot="1">
      <c r="A50" s="16" t="s">
        <v>71</v>
      </c>
      <c r="B50">
        <v>59</v>
      </c>
      <c r="C50">
        <v>64</v>
      </c>
      <c r="D50">
        <v>53</v>
      </c>
      <c r="E50">
        <v>62</v>
      </c>
      <c r="F50">
        <v>70</v>
      </c>
      <c r="G50">
        <v>4</v>
      </c>
      <c r="H50">
        <v>0</v>
      </c>
      <c r="I50">
        <f t="shared" si="4"/>
        <v>61.25</v>
      </c>
      <c r="J50" s="1">
        <f t="shared" si="5"/>
        <v>61.25</v>
      </c>
      <c r="K50">
        <f t="shared" si="6"/>
        <v>123</v>
      </c>
      <c r="L50" s="14" t="str">
        <f t="shared" si="7"/>
        <v>B</v>
      </c>
      <c r="R50" t="s">
        <v>52</v>
      </c>
    </row>
    <row r="51" spans="1:18" thickTop="1" thickBot="1">
      <c r="A51" s="16" t="s">
        <v>72</v>
      </c>
      <c r="B51">
        <v>76</v>
      </c>
      <c r="C51">
        <v>71</v>
      </c>
      <c r="D51">
        <v>70</v>
      </c>
      <c r="E51">
        <v>67</v>
      </c>
      <c r="F51">
        <v>63</v>
      </c>
      <c r="G51">
        <v>5</v>
      </c>
      <c r="H51">
        <v>0</v>
      </c>
      <c r="I51">
        <f t="shared" si="4"/>
        <v>70.850000000000009</v>
      </c>
      <c r="J51" s="1">
        <f t="shared" si="5"/>
        <v>70.850000000000009</v>
      </c>
      <c r="K51">
        <f t="shared" si="6"/>
        <v>110</v>
      </c>
      <c r="L51" s="14" t="str">
        <f t="shared" si="7"/>
        <v>A</v>
      </c>
      <c r="M51" t="s">
        <v>28</v>
      </c>
      <c r="N51" t="s">
        <v>40</v>
      </c>
      <c r="O51" t="s">
        <v>73</v>
      </c>
      <c r="R51" t="s">
        <v>52</v>
      </c>
    </row>
    <row r="52" spans="1:18" thickTop="1" thickBot="1">
      <c r="A52" s="16" t="s">
        <v>74</v>
      </c>
      <c r="B52">
        <v>84</v>
      </c>
      <c r="C52">
        <v>88</v>
      </c>
      <c r="D52">
        <v>83</v>
      </c>
      <c r="E52">
        <v>89</v>
      </c>
      <c r="F52">
        <v>82</v>
      </c>
      <c r="G52">
        <v>8</v>
      </c>
      <c r="H52">
        <v>0</v>
      </c>
      <c r="I52">
        <f t="shared" si="4"/>
        <v>84.550000000000011</v>
      </c>
      <c r="J52" s="1">
        <f t="shared" si="5"/>
        <v>84.550000000000011</v>
      </c>
      <c r="K52">
        <f t="shared" si="6"/>
        <v>39</v>
      </c>
      <c r="L52" s="14" t="str">
        <f t="shared" si="7"/>
        <v>S</v>
      </c>
      <c r="M52" t="s">
        <v>21</v>
      </c>
    </row>
    <row r="53" spans="1:18" thickTop="1" thickBot="1">
      <c r="A53" s="16" t="s">
        <v>75</v>
      </c>
      <c r="B53">
        <v>65</v>
      </c>
      <c r="C53">
        <v>63</v>
      </c>
      <c r="D53">
        <v>72</v>
      </c>
      <c r="E53">
        <v>61</v>
      </c>
      <c r="F53">
        <v>74</v>
      </c>
      <c r="G53">
        <v>8</v>
      </c>
      <c r="H53">
        <v>0</v>
      </c>
      <c r="I53">
        <f t="shared" si="4"/>
        <v>66.099999999999994</v>
      </c>
      <c r="J53" s="1">
        <f t="shared" si="5"/>
        <v>66.099999999999994</v>
      </c>
      <c r="K53">
        <f t="shared" si="6"/>
        <v>120</v>
      </c>
      <c r="L53" s="14" t="str">
        <f t="shared" si="7"/>
        <v>B</v>
      </c>
      <c r="M53" t="s">
        <v>60</v>
      </c>
      <c r="N53" t="s">
        <v>19</v>
      </c>
      <c r="O53" t="s">
        <v>40</v>
      </c>
      <c r="R53" t="s">
        <v>52</v>
      </c>
    </row>
    <row r="54" spans="1:18" thickTop="1" thickBot="1">
      <c r="A54" s="16" t="s">
        <v>76</v>
      </c>
      <c r="B54">
        <v>68</v>
      </c>
      <c r="C54">
        <v>61</v>
      </c>
      <c r="D54">
        <v>58</v>
      </c>
      <c r="E54">
        <v>63</v>
      </c>
      <c r="F54">
        <v>73</v>
      </c>
      <c r="G54">
        <v>10</v>
      </c>
      <c r="H54">
        <v>4</v>
      </c>
      <c r="I54">
        <f t="shared" si="4"/>
        <v>68.5</v>
      </c>
      <c r="J54" s="1">
        <f t="shared" si="5"/>
        <v>68.5</v>
      </c>
      <c r="K54">
        <f t="shared" si="6"/>
        <v>115</v>
      </c>
      <c r="L54" s="14" t="str">
        <f t="shared" si="7"/>
        <v>B</v>
      </c>
      <c r="M54" t="s">
        <v>67</v>
      </c>
      <c r="N54" t="s">
        <v>35</v>
      </c>
      <c r="O54" t="s">
        <v>24</v>
      </c>
      <c r="P54" s="14">
        <v>1</v>
      </c>
      <c r="Q54" s="14" t="s">
        <v>183</v>
      </c>
      <c r="R54" t="s">
        <v>52</v>
      </c>
    </row>
    <row r="55" spans="1:18" thickTop="1" thickBot="1">
      <c r="A55" s="16" t="s">
        <v>77</v>
      </c>
      <c r="B55">
        <v>55</v>
      </c>
      <c r="C55">
        <v>35</v>
      </c>
      <c r="D55">
        <v>0</v>
      </c>
      <c r="E55">
        <v>0</v>
      </c>
      <c r="F55">
        <v>0</v>
      </c>
      <c r="G55">
        <v>0</v>
      </c>
      <c r="H55">
        <v>0</v>
      </c>
      <c r="I55">
        <f t="shared" si="4"/>
        <v>30</v>
      </c>
      <c r="J55" s="1">
        <f t="shared" si="5"/>
        <v>30</v>
      </c>
      <c r="K55">
        <f t="shared" si="6"/>
        <v>163</v>
      </c>
      <c r="L55" s="14" t="str">
        <f t="shared" si="7"/>
        <v>D</v>
      </c>
    </row>
    <row r="56" spans="1:18" thickTop="1" thickBot="1">
      <c r="A56" s="16" t="s">
        <v>218</v>
      </c>
      <c r="B56" s="2">
        <v>58</v>
      </c>
      <c r="C56" s="2">
        <v>57</v>
      </c>
      <c r="D56" s="2">
        <v>50</v>
      </c>
      <c r="E56" s="2">
        <v>62</v>
      </c>
      <c r="F56" s="2">
        <v>60</v>
      </c>
      <c r="G56" s="2">
        <v>4</v>
      </c>
      <c r="H56" s="2">
        <v>0</v>
      </c>
      <c r="I56">
        <f t="shared" si="4"/>
        <v>57.400000000000006</v>
      </c>
      <c r="J56" s="1">
        <f t="shared" si="5"/>
        <v>57.400000000000006</v>
      </c>
      <c r="K56">
        <f t="shared" si="6"/>
        <v>126</v>
      </c>
      <c r="L56" s="14" t="str">
        <f t="shared" si="7"/>
        <v>C</v>
      </c>
      <c r="M56" t="s">
        <v>73</v>
      </c>
      <c r="N56" t="s">
        <v>60</v>
      </c>
      <c r="O56" t="s">
        <v>28</v>
      </c>
      <c r="R56" t="s">
        <v>52</v>
      </c>
    </row>
    <row r="57" spans="1:18" thickTop="1" thickBot="1">
      <c r="A57" s="16" t="s">
        <v>78</v>
      </c>
      <c r="B57">
        <v>85</v>
      </c>
      <c r="C57">
        <v>86</v>
      </c>
      <c r="D57">
        <v>83</v>
      </c>
      <c r="E57">
        <v>83</v>
      </c>
      <c r="F57">
        <v>82</v>
      </c>
      <c r="G57">
        <v>6</v>
      </c>
      <c r="H57">
        <v>0</v>
      </c>
      <c r="I57">
        <f t="shared" si="4"/>
        <v>83.55</v>
      </c>
      <c r="J57" s="1">
        <f t="shared" si="5"/>
        <v>83.55</v>
      </c>
      <c r="K57">
        <f t="shared" si="6"/>
        <v>47</v>
      </c>
      <c r="L57" s="14" t="str">
        <f t="shared" si="7"/>
        <v>A+</v>
      </c>
    </row>
    <row r="58" spans="1:18" s="2" customFormat="1" thickTop="1" thickBot="1">
      <c r="A58" s="16" t="s">
        <v>79</v>
      </c>
      <c r="B58">
        <v>86</v>
      </c>
      <c r="C58">
        <v>95</v>
      </c>
      <c r="D58">
        <v>89</v>
      </c>
      <c r="E58">
        <v>94</v>
      </c>
      <c r="F58">
        <v>93</v>
      </c>
      <c r="G58">
        <v>10</v>
      </c>
      <c r="H58">
        <v>2</v>
      </c>
      <c r="I58">
        <f t="shared" si="4"/>
        <v>91.85</v>
      </c>
      <c r="J58" s="1">
        <f t="shared" si="5"/>
        <v>91.85</v>
      </c>
      <c r="K58">
        <f t="shared" si="6"/>
        <v>9</v>
      </c>
      <c r="L58" s="14" t="str">
        <f t="shared" si="7"/>
        <v>S+</v>
      </c>
      <c r="M58" t="s">
        <v>21</v>
      </c>
      <c r="N58" t="s">
        <v>179</v>
      </c>
      <c r="O58" t="s">
        <v>19</v>
      </c>
      <c r="P58" s="14"/>
      <c r="Q58" s="14">
        <v>2</v>
      </c>
      <c r="R58" t="s">
        <v>52</v>
      </c>
    </row>
    <row r="59" spans="1:18" thickTop="1" thickBot="1">
      <c r="A59" s="16" t="s">
        <v>80</v>
      </c>
      <c r="B59">
        <v>90</v>
      </c>
      <c r="C59">
        <v>97</v>
      </c>
      <c r="D59">
        <v>94</v>
      </c>
      <c r="E59">
        <v>98</v>
      </c>
      <c r="F59">
        <v>96</v>
      </c>
      <c r="G59">
        <v>10</v>
      </c>
      <c r="H59">
        <v>2.4</v>
      </c>
      <c r="I59">
        <f t="shared" si="4"/>
        <v>95.5</v>
      </c>
      <c r="J59" s="1">
        <f t="shared" si="5"/>
        <v>95.5</v>
      </c>
      <c r="K59">
        <f t="shared" si="6"/>
        <v>3</v>
      </c>
      <c r="L59" s="14" t="str">
        <f t="shared" si="7"/>
        <v>S+</v>
      </c>
      <c r="M59" t="s">
        <v>21</v>
      </c>
      <c r="N59" t="s">
        <v>19</v>
      </c>
      <c r="O59" t="s">
        <v>33</v>
      </c>
      <c r="Q59" s="14">
        <v>1</v>
      </c>
    </row>
    <row r="60" spans="1:18" thickTop="1" thickBot="1">
      <c r="A60" s="16" t="s">
        <v>81</v>
      </c>
      <c r="B60">
        <v>78</v>
      </c>
      <c r="C60">
        <v>76</v>
      </c>
      <c r="D60">
        <v>0</v>
      </c>
      <c r="E60">
        <v>0</v>
      </c>
      <c r="F60">
        <v>0</v>
      </c>
      <c r="G60">
        <v>0</v>
      </c>
      <c r="H60">
        <v>0</v>
      </c>
      <c r="I60">
        <f t="shared" si="4"/>
        <v>49.2</v>
      </c>
      <c r="J60" s="1">
        <f t="shared" si="5"/>
        <v>49.2</v>
      </c>
      <c r="K60">
        <f t="shared" si="6"/>
        <v>135</v>
      </c>
      <c r="L60" s="14" t="str">
        <f t="shared" si="7"/>
        <v>D</v>
      </c>
    </row>
    <row r="61" spans="1:18" thickTop="1" thickBot="1">
      <c r="A61" s="16" t="s">
        <v>82</v>
      </c>
      <c r="B61">
        <v>78</v>
      </c>
      <c r="C61">
        <v>80</v>
      </c>
      <c r="D61">
        <v>72</v>
      </c>
      <c r="E61">
        <v>73</v>
      </c>
      <c r="F61">
        <v>77</v>
      </c>
      <c r="G61">
        <v>4</v>
      </c>
      <c r="H61">
        <v>0</v>
      </c>
      <c r="I61">
        <f t="shared" si="4"/>
        <v>76.400000000000006</v>
      </c>
      <c r="J61" s="1">
        <f t="shared" si="5"/>
        <v>76.400000000000006</v>
      </c>
      <c r="K61">
        <f t="shared" si="6"/>
        <v>94</v>
      </c>
      <c r="L61" s="14" t="str">
        <f t="shared" si="7"/>
        <v>A</v>
      </c>
      <c r="M61" t="s">
        <v>19</v>
      </c>
      <c r="N61" t="s">
        <v>21</v>
      </c>
      <c r="O61" t="s">
        <v>60</v>
      </c>
      <c r="R61" t="s">
        <v>52</v>
      </c>
    </row>
    <row r="62" spans="1:18" thickTop="1" thickBot="1">
      <c r="A62" s="16" t="s">
        <v>83</v>
      </c>
      <c r="B62">
        <v>89</v>
      </c>
      <c r="C62">
        <v>88</v>
      </c>
      <c r="D62">
        <v>85</v>
      </c>
      <c r="E62">
        <v>87</v>
      </c>
      <c r="F62">
        <v>85</v>
      </c>
      <c r="G62">
        <v>6</v>
      </c>
      <c r="H62">
        <v>0</v>
      </c>
      <c r="I62">
        <f t="shared" si="4"/>
        <v>86.35</v>
      </c>
      <c r="J62" s="1">
        <f t="shared" si="5"/>
        <v>86.35</v>
      </c>
      <c r="K62">
        <f t="shared" si="6"/>
        <v>30</v>
      </c>
      <c r="L62" s="14" t="str">
        <f t="shared" si="7"/>
        <v>S</v>
      </c>
      <c r="M62" t="s">
        <v>35</v>
      </c>
      <c r="N62" t="s">
        <v>21</v>
      </c>
      <c r="O62" t="s">
        <v>32</v>
      </c>
      <c r="R62" t="s">
        <v>52</v>
      </c>
    </row>
    <row r="63" spans="1:18" thickTop="1" thickBot="1">
      <c r="A63" s="16" t="s">
        <v>174</v>
      </c>
      <c r="B63">
        <v>54</v>
      </c>
      <c r="C63">
        <v>61</v>
      </c>
      <c r="D63">
        <v>51</v>
      </c>
      <c r="E63">
        <v>48</v>
      </c>
      <c r="F63">
        <v>59</v>
      </c>
      <c r="G63">
        <v>1</v>
      </c>
      <c r="H63">
        <v>0</v>
      </c>
      <c r="I63">
        <f t="shared" si="4"/>
        <v>55.9</v>
      </c>
      <c r="J63" s="1">
        <f t="shared" si="5"/>
        <v>55.9</v>
      </c>
      <c r="K63">
        <f t="shared" si="6"/>
        <v>128</v>
      </c>
      <c r="L63" s="14" t="str">
        <f t="shared" si="7"/>
        <v>C</v>
      </c>
      <c r="M63" t="s">
        <v>73</v>
      </c>
      <c r="N63" t="s">
        <v>60</v>
      </c>
      <c r="O63" t="s">
        <v>28</v>
      </c>
      <c r="R63" t="s">
        <v>52</v>
      </c>
    </row>
    <row r="64" spans="1:18" thickTop="1" thickBot="1">
      <c r="A64" s="16" t="s">
        <v>188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>
        <f t="shared" si="4"/>
        <v>3</v>
      </c>
      <c r="J64" s="1">
        <f t="shared" si="5"/>
        <v>3</v>
      </c>
      <c r="K64">
        <f t="shared" si="6"/>
        <v>165</v>
      </c>
      <c r="L64" s="14" t="str">
        <f t="shared" si="7"/>
        <v>D</v>
      </c>
      <c r="M64" s="2"/>
      <c r="N64" s="2"/>
      <c r="O64" s="2"/>
      <c r="P64" s="15"/>
      <c r="Q64" s="15"/>
      <c r="R64" s="2"/>
    </row>
    <row r="65" spans="1:18" thickTop="1" thickBot="1">
      <c r="A65" s="16" t="s">
        <v>84</v>
      </c>
      <c r="B65">
        <v>82</v>
      </c>
      <c r="C65">
        <v>82</v>
      </c>
      <c r="D65">
        <v>77</v>
      </c>
      <c r="E65">
        <v>80</v>
      </c>
      <c r="F65">
        <v>84</v>
      </c>
      <c r="G65">
        <v>10</v>
      </c>
      <c r="H65">
        <v>0</v>
      </c>
      <c r="I65">
        <f t="shared" si="4"/>
        <v>80.650000000000006</v>
      </c>
      <c r="J65" s="1">
        <f t="shared" si="5"/>
        <v>80.650000000000006</v>
      </c>
      <c r="K65">
        <f t="shared" si="6"/>
        <v>72</v>
      </c>
      <c r="L65" s="14" t="str">
        <f t="shared" si="7"/>
        <v>A+</v>
      </c>
      <c r="M65" t="s">
        <v>35</v>
      </c>
      <c r="N65" t="s">
        <v>28</v>
      </c>
      <c r="O65" t="s">
        <v>40</v>
      </c>
      <c r="Q65" s="14">
        <v>1</v>
      </c>
      <c r="R65" t="s">
        <v>52</v>
      </c>
    </row>
    <row r="66" spans="1:18" thickTop="1" thickBot="1">
      <c r="A66" s="16" t="s">
        <v>85</v>
      </c>
      <c r="B66">
        <v>50</v>
      </c>
      <c r="C66">
        <v>56</v>
      </c>
      <c r="D66">
        <v>38</v>
      </c>
      <c r="E66">
        <v>40</v>
      </c>
      <c r="F66">
        <v>37</v>
      </c>
      <c r="G66">
        <v>4</v>
      </c>
      <c r="H66">
        <v>0</v>
      </c>
      <c r="I66">
        <f t="shared" ref="I66:I97" si="8">(AVERAGE(B66*0.3,C66*0.3,D66*0.15,E66*0.1,F66*0.1,G66*0.05)*6)+3+H66</f>
        <v>48.400000000000006</v>
      </c>
      <c r="J66" s="1">
        <f t="shared" ref="J66:J97" si="9">(AVERAGE(B66*0.3,C66*0.3,D66*0.15,E66*0.1,F66*0.1,G66*0.05)*6)+3+H66</f>
        <v>48.400000000000006</v>
      </c>
      <c r="K66">
        <f t="shared" ref="K66:K97" si="10">IF(I66&lt;&gt;"", RANK(I66, I:I, 0), "")</f>
        <v>140</v>
      </c>
      <c r="L66" s="14" t="str">
        <f t="shared" ref="L66:L97" si="11">IF(I66&gt;=89.5,"S+",IF(I66&gt;=84.5,"S",IF(I66&gt;=79.5,"A+",IF(I66&gt;=69.5,"A",IF(I66&gt;=59.5,"B",IF(I66&gt;=49.5,"C","D"))))))</f>
        <v>D</v>
      </c>
      <c r="R66" t="s">
        <v>52</v>
      </c>
    </row>
    <row r="67" spans="1:18" thickTop="1" thickBot="1">
      <c r="A67" s="16" t="s">
        <v>86</v>
      </c>
      <c r="B67">
        <v>75</v>
      </c>
      <c r="C67">
        <v>83</v>
      </c>
      <c r="D67">
        <v>77</v>
      </c>
      <c r="E67">
        <v>79</v>
      </c>
      <c r="F67">
        <v>80</v>
      </c>
      <c r="G67">
        <v>10</v>
      </c>
      <c r="H67">
        <v>0</v>
      </c>
      <c r="I67">
        <f t="shared" si="8"/>
        <v>78.349999999999994</v>
      </c>
      <c r="J67" s="1">
        <f t="shared" si="9"/>
        <v>78.349999999999994</v>
      </c>
      <c r="K67">
        <f t="shared" si="10"/>
        <v>85</v>
      </c>
      <c r="L67" s="14" t="str">
        <f t="shared" si="11"/>
        <v>A</v>
      </c>
      <c r="M67" t="s">
        <v>24</v>
      </c>
      <c r="N67" t="s">
        <v>67</v>
      </c>
      <c r="O67" t="s">
        <v>35</v>
      </c>
      <c r="R67" t="s">
        <v>52</v>
      </c>
    </row>
    <row r="68" spans="1:18" thickTop="1" thickBot="1">
      <c r="A68" s="16" t="s">
        <v>87</v>
      </c>
      <c r="B68">
        <v>79</v>
      </c>
      <c r="C68">
        <v>53</v>
      </c>
      <c r="D68">
        <v>0</v>
      </c>
      <c r="E68">
        <v>0</v>
      </c>
      <c r="F68">
        <v>0</v>
      </c>
      <c r="G68">
        <v>10</v>
      </c>
      <c r="H68">
        <v>0</v>
      </c>
      <c r="I68">
        <f t="shared" si="8"/>
        <v>43.099999999999994</v>
      </c>
      <c r="J68" s="1">
        <f t="shared" si="9"/>
        <v>43.099999999999994</v>
      </c>
      <c r="K68">
        <f t="shared" si="10"/>
        <v>147</v>
      </c>
      <c r="L68" s="14" t="str">
        <f t="shared" si="11"/>
        <v>D</v>
      </c>
    </row>
    <row r="69" spans="1:18" thickTop="1" thickBot="1">
      <c r="A69" s="16" t="s">
        <v>88</v>
      </c>
      <c r="B69">
        <v>61</v>
      </c>
      <c r="C69">
        <v>80</v>
      </c>
      <c r="D69">
        <v>0</v>
      </c>
      <c r="E69">
        <v>0</v>
      </c>
      <c r="F69">
        <v>0</v>
      </c>
      <c r="G69">
        <v>10</v>
      </c>
      <c r="H69">
        <v>0</v>
      </c>
      <c r="I69">
        <f t="shared" si="8"/>
        <v>45.8</v>
      </c>
      <c r="J69" s="1">
        <f t="shared" si="9"/>
        <v>45.8</v>
      </c>
      <c r="K69">
        <f t="shared" si="10"/>
        <v>144</v>
      </c>
      <c r="L69" s="14" t="str">
        <f t="shared" si="11"/>
        <v>D</v>
      </c>
    </row>
    <row r="70" spans="1:18" thickTop="1" thickBot="1">
      <c r="A70" s="16" t="s">
        <v>89</v>
      </c>
      <c r="B70">
        <v>77</v>
      </c>
      <c r="C70">
        <v>82</v>
      </c>
      <c r="D70">
        <v>74</v>
      </c>
      <c r="E70">
        <v>80</v>
      </c>
      <c r="F70">
        <v>76</v>
      </c>
      <c r="G70">
        <v>6</v>
      </c>
      <c r="H70">
        <v>0</v>
      </c>
      <c r="I70">
        <f t="shared" si="8"/>
        <v>77.699999999999989</v>
      </c>
      <c r="J70" s="1">
        <f t="shared" si="9"/>
        <v>77.699999999999989</v>
      </c>
      <c r="K70">
        <f t="shared" si="10"/>
        <v>89</v>
      </c>
      <c r="L70" s="14" t="str">
        <f t="shared" si="11"/>
        <v>A</v>
      </c>
      <c r="M70" t="s">
        <v>28</v>
      </c>
      <c r="N70" t="s">
        <v>20</v>
      </c>
      <c r="O70" t="s">
        <v>21</v>
      </c>
      <c r="R70" t="s">
        <v>52</v>
      </c>
    </row>
    <row r="71" spans="1:18" thickTop="1" thickBot="1">
      <c r="A71" s="16" t="s">
        <v>220</v>
      </c>
      <c r="B71" s="2">
        <v>73</v>
      </c>
      <c r="C71" s="2">
        <v>72</v>
      </c>
      <c r="D71" s="2">
        <v>63</v>
      </c>
      <c r="E71" s="2">
        <v>67</v>
      </c>
      <c r="F71" s="2">
        <v>69</v>
      </c>
      <c r="G71" s="2">
        <v>6</v>
      </c>
      <c r="H71" s="2">
        <v>0</v>
      </c>
      <c r="I71">
        <f t="shared" si="8"/>
        <v>69.850000000000009</v>
      </c>
      <c r="J71" s="1">
        <f t="shared" si="9"/>
        <v>69.850000000000009</v>
      </c>
      <c r="K71">
        <f t="shared" si="10"/>
        <v>112</v>
      </c>
      <c r="L71" s="14" t="str">
        <f t="shared" si="11"/>
        <v>A</v>
      </c>
      <c r="M71" t="s">
        <v>221</v>
      </c>
      <c r="N71" t="s">
        <v>24</v>
      </c>
      <c r="O71" t="s">
        <v>60</v>
      </c>
      <c r="R71" t="s">
        <v>52</v>
      </c>
    </row>
    <row r="72" spans="1:18" thickTop="1" thickBot="1">
      <c r="A72" s="16" t="s">
        <v>189</v>
      </c>
      <c r="B72">
        <v>83</v>
      </c>
      <c r="C72">
        <v>84</v>
      </c>
      <c r="D72">
        <v>82</v>
      </c>
      <c r="E72">
        <v>80</v>
      </c>
      <c r="F72">
        <v>81</v>
      </c>
      <c r="G72">
        <v>8</v>
      </c>
      <c r="H72">
        <v>2</v>
      </c>
      <c r="I72">
        <f t="shared" si="8"/>
        <v>83.899999999999991</v>
      </c>
      <c r="J72" s="1">
        <f t="shared" si="9"/>
        <v>83.899999999999991</v>
      </c>
      <c r="K72">
        <f t="shared" si="10"/>
        <v>43</v>
      </c>
      <c r="L72" s="14" t="str">
        <f t="shared" si="11"/>
        <v>A+</v>
      </c>
      <c r="M72" t="s">
        <v>35</v>
      </c>
      <c r="N72" t="s">
        <v>40</v>
      </c>
      <c r="O72" t="s">
        <v>153</v>
      </c>
      <c r="R72" t="s">
        <v>52</v>
      </c>
    </row>
    <row r="73" spans="1:18" thickTop="1" thickBot="1">
      <c r="A73" s="16" t="s">
        <v>90</v>
      </c>
      <c r="B73">
        <v>43</v>
      </c>
      <c r="C73">
        <v>55</v>
      </c>
      <c r="D73">
        <v>38</v>
      </c>
      <c r="E73">
        <v>50</v>
      </c>
      <c r="F73">
        <v>65</v>
      </c>
      <c r="G73">
        <v>5</v>
      </c>
      <c r="H73">
        <v>2</v>
      </c>
      <c r="I73">
        <f t="shared" si="8"/>
        <v>51.85</v>
      </c>
      <c r="J73" s="1">
        <f t="shared" si="9"/>
        <v>51.85</v>
      </c>
      <c r="K73">
        <f t="shared" si="10"/>
        <v>134</v>
      </c>
      <c r="L73" s="14" t="str">
        <f t="shared" si="11"/>
        <v>C</v>
      </c>
    </row>
    <row r="74" spans="1:18" thickTop="1" thickBot="1">
      <c r="A74" s="16" t="s">
        <v>91</v>
      </c>
      <c r="B74">
        <v>84</v>
      </c>
      <c r="C74">
        <v>83</v>
      </c>
      <c r="D74">
        <v>78</v>
      </c>
      <c r="E74">
        <v>80</v>
      </c>
      <c r="F74">
        <v>79</v>
      </c>
      <c r="G74">
        <v>6</v>
      </c>
      <c r="H74">
        <v>0</v>
      </c>
      <c r="I74">
        <f t="shared" si="8"/>
        <v>81</v>
      </c>
      <c r="J74" s="1">
        <f t="shared" si="9"/>
        <v>81</v>
      </c>
      <c r="K74">
        <f t="shared" si="10"/>
        <v>69</v>
      </c>
      <c r="L74" s="14" t="str">
        <f t="shared" si="11"/>
        <v>A+</v>
      </c>
      <c r="M74" t="s">
        <v>60</v>
      </c>
      <c r="N74" t="s">
        <v>21</v>
      </c>
      <c r="O74" t="s">
        <v>28</v>
      </c>
      <c r="R74" t="s">
        <v>52</v>
      </c>
    </row>
    <row r="75" spans="1:18" thickTop="1" thickBot="1">
      <c r="A75" s="16" t="s">
        <v>209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>
        <f t="shared" si="8"/>
        <v>3</v>
      </c>
      <c r="J75" s="1">
        <f t="shared" si="9"/>
        <v>3</v>
      </c>
      <c r="K75">
        <f t="shared" si="10"/>
        <v>165</v>
      </c>
      <c r="L75" s="14" t="str">
        <f t="shared" si="11"/>
        <v>D</v>
      </c>
    </row>
    <row r="76" spans="1:18" thickTop="1" thickBot="1">
      <c r="A76" s="16" t="s">
        <v>92</v>
      </c>
      <c r="B76">
        <v>85</v>
      </c>
      <c r="C76">
        <v>68</v>
      </c>
      <c r="D76">
        <v>0</v>
      </c>
      <c r="E76">
        <v>0</v>
      </c>
      <c r="F76">
        <v>0</v>
      </c>
      <c r="G76">
        <v>0</v>
      </c>
      <c r="H76">
        <v>0</v>
      </c>
      <c r="I76">
        <f t="shared" si="8"/>
        <v>48.9</v>
      </c>
      <c r="J76" s="1">
        <f t="shared" si="9"/>
        <v>48.9</v>
      </c>
      <c r="K76">
        <f t="shared" si="10"/>
        <v>138</v>
      </c>
      <c r="L76" s="14" t="str">
        <f t="shared" si="11"/>
        <v>D</v>
      </c>
    </row>
    <row r="77" spans="1:18" thickTop="1" thickBot="1">
      <c r="A77" s="16" t="s">
        <v>93</v>
      </c>
      <c r="B77">
        <v>93</v>
      </c>
      <c r="C77">
        <v>95</v>
      </c>
      <c r="D77">
        <v>96</v>
      </c>
      <c r="E77">
        <v>95</v>
      </c>
      <c r="F77">
        <v>93</v>
      </c>
      <c r="G77">
        <v>10</v>
      </c>
      <c r="H77">
        <v>2</v>
      </c>
      <c r="I77">
        <f t="shared" si="8"/>
        <v>95.1</v>
      </c>
      <c r="J77" s="1">
        <f t="shared" si="9"/>
        <v>95.1</v>
      </c>
      <c r="K77">
        <f t="shared" si="10"/>
        <v>5</v>
      </c>
      <c r="L77" s="14" t="str">
        <f t="shared" si="11"/>
        <v>S+</v>
      </c>
      <c r="M77" t="s">
        <v>35</v>
      </c>
      <c r="N77" t="s">
        <v>32</v>
      </c>
      <c r="O77" t="s">
        <v>28</v>
      </c>
    </row>
    <row r="78" spans="1:18" thickTop="1" thickBot="1">
      <c r="A78" s="16" t="s">
        <v>94</v>
      </c>
      <c r="B78">
        <v>59</v>
      </c>
      <c r="C78">
        <v>37</v>
      </c>
      <c r="D78">
        <v>0</v>
      </c>
      <c r="E78">
        <v>0</v>
      </c>
      <c r="F78">
        <v>0</v>
      </c>
      <c r="G78">
        <v>0</v>
      </c>
      <c r="H78">
        <v>0</v>
      </c>
      <c r="I78">
        <f t="shared" si="8"/>
        <v>31.799999999999997</v>
      </c>
      <c r="J78" s="1">
        <f t="shared" si="9"/>
        <v>31.799999999999997</v>
      </c>
      <c r="K78">
        <f t="shared" si="10"/>
        <v>162</v>
      </c>
      <c r="L78" s="14" t="str">
        <f t="shared" si="11"/>
        <v>D</v>
      </c>
    </row>
    <row r="79" spans="1:18" thickTop="1" thickBot="1">
      <c r="A79" s="16" t="s">
        <v>217</v>
      </c>
      <c r="B79" s="2">
        <v>54</v>
      </c>
      <c r="C79" s="2">
        <v>60</v>
      </c>
      <c r="D79" s="2">
        <v>58</v>
      </c>
      <c r="E79" s="2">
        <v>43</v>
      </c>
      <c r="F79" s="2">
        <v>48</v>
      </c>
      <c r="G79" s="2">
        <v>5</v>
      </c>
      <c r="H79" s="2">
        <v>0</v>
      </c>
      <c r="I79">
        <f t="shared" si="8"/>
        <v>55.25</v>
      </c>
      <c r="J79" s="1">
        <f t="shared" si="9"/>
        <v>55.25</v>
      </c>
      <c r="K79">
        <f t="shared" si="10"/>
        <v>129</v>
      </c>
      <c r="L79" s="14" t="str">
        <f t="shared" si="11"/>
        <v>C</v>
      </c>
      <c r="M79" t="s">
        <v>60</v>
      </c>
      <c r="N79" t="s">
        <v>21</v>
      </c>
      <c r="O79" t="s">
        <v>24</v>
      </c>
      <c r="R79" t="s">
        <v>242</v>
      </c>
    </row>
    <row r="80" spans="1:18" thickTop="1" thickBot="1">
      <c r="A80" s="16" t="s">
        <v>95</v>
      </c>
      <c r="B80">
        <v>90</v>
      </c>
      <c r="C80">
        <v>94</v>
      </c>
      <c r="D80">
        <v>95</v>
      </c>
      <c r="E80">
        <v>96</v>
      </c>
      <c r="F80">
        <v>92</v>
      </c>
      <c r="G80">
        <v>10</v>
      </c>
      <c r="H80">
        <v>3</v>
      </c>
      <c r="I80">
        <f t="shared" si="8"/>
        <v>94.750000000000014</v>
      </c>
      <c r="J80" s="1">
        <f t="shared" si="9"/>
        <v>94.750000000000014</v>
      </c>
      <c r="K80">
        <f t="shared" si="10"/>
        <v>6</v>
      </c>
      <c r="L80" s="14" t="str">
        <f t="shared" si="11"/>
        <v>S+</v>
      </c>
      <c r="M80" t="s">
        <v>21</v>
      </c>
      <c r="N80" t="s">
        <v>180</v>
      </c>
      <c r="O80" t="s">
        <v>33</v>
      </c>
      <c r="Q80" s="14">
        <v>1</v>
      </c>
      <c r="R80" t="s">
        <v>52</v>
      </c>
    </row>
    <row r="81" spans="1:18" thickTop="1" thickBot="1">
      <c r="A81" s="16" t="s">
        <v>96</v>
      </c>
      <c r="B81">
        <v>74</v>
      </c>
      <c r="C81">
        <v>77</v>
      </c>
      <c r="D81">
        <v>68</v>
      </c>
      <c r="E81">
        <v>75</v>
      </c>
      <c r="F81">
        <v>71</v>
      </c>
      <c r="G81">
        <v>3</v>
      </c>
      <c r="H81">
        <v>0</v>
      </c>
      <c r="I81">
        <f t="shared" si="8"/>
        <v>73.25</v>
      </c>
      <c r="J81" s="1">
        <f t="shared" si="9"/>
        <v>73.25</v>
      </c>
      <c r="K81">
        <f t="shared" si="10"/>
        <v>105</v>
      </c>
      <c r="L81" s="14" t="str">
        <f t="shared" si="11"/>
        <v>A</v>
      </c>
    </row>
    <row r="82" spans="1:18" thickTop="1" thickBot="1">
      <c r="A82" s="16" t="s">
        <v>197</v>
      </c>
      <c r="B82">
        <v>82</v>
      </c>
      <c r="C82">
        <v>82</v>
      </c>
      <c r="D82">
        <v>78</v>
      </c>
      <c r="E82">
        <v>74</v>
      </c>
      <c r="F82">
        <v>80</v>
      </c>
      <c r="G82">
        <v>8</v>
      </c>
      <c r="H82">
        <v>2</v>
      </c>
      <c r="I82">
        <f t="shared" si="8"/>
        <v>81.7</v>
      </c>
      <c r="J82" s="1">
        <f t="shared" si="9"/>
        <v>81.7</v>
      </c>
      <c r="K82">
        <f t="shared" si="10"/>
        <v>61</v>
      </c>
      <c r="L82" s="14" t="str">
        <f t="shared" si="11"/>
        <v>A+</v>
      </c>
      <c r="M82" t="s">
        <v>153</v>
      </c>
      <c r="N82" t="s">
        <v>20</v>
      </c>
      <c r="O82" t="s">
        <v>24</v>
      </c>
      <c r="R82" t="s">
        <v>52</v>
      </c>
    </row>
    <row r="83" spans="1:18" thickTop="1" thickBot="1">
      <c r="A83" s="16" t="s">
        <v>243</v>
      </c>
      <c r="B83">
        <v>82</v>
      </c>
      <c r="C83">
        <v>89</v>
      </c>
      <c r="D83">
        <v>83</v>
      </c>
      <c r="E83">
        <v>86</v>
      </c>
      <c r="F83">
        <v>87</v>
      </c>
      <c r="G83">
        <v>9</v>
      </c>
      <c r="H83">
        <v>1</v>
      </c>
      <c r="I83">
        <f t="shared" si="8"/>
        <v>85.5</v>
      </c>
      <c r="J83" s="1">
        <f t="shared" si="9"/>
        <v>85.5</v>
      </c>
      <c r="K83">
        <f t="shared" si="10"/>
        <v>32</v>
      </c>
      <c r="L83" s="14" t="str">
        <f t="shared" si="11"/>
        <v>S</v>
      </c>
      <c r="M83" t="s">
        <v>21</v>
      </c>
      <c r="N83" t="s">
        <v>33</v>
      </c>
      <c r="O83" t="s">
        <v>22</v>
      </c>
      <c r="R83" t="s">
        <v>52</v>
      </c>
    </row>
    <row r="84" spans="1:18" thickTop="1" thickBot="1">
      <c r="A84" s="16" t="s">
        <v>97</v>
      </c>
      <c r="B84">
        <v>74</v>
      </c>
      <c r="C84">
        <v>81</v>
      </c>
      <c r="D84">
        <v>78</v>
      </c>
      <c r="E84">
        <v>80</v>
      </c>
      <c r="F84">
        <v>81</v>
      </c>
      <c r="G84">
        <v>5</v>
      </c>
      <c r="H84">
        <v>0</v>
      </c>
      <c r="I84">
        <f t="shared" si="8"/>
        <v>77.55</v>
      </c>
      <c r="J84" s="1">
        <f t="shared" si="9"/>
        <v>77.55</v>
      </c>
      <c r="K84">
        <f t="shared" si="10"/>
        <v>91</v>
      </c>
      <c r="L84" s="14" t="str">
        <f t="shared" si="11"/>
        <v>A</v>
      </c>
    </row>
    <row r="85" spans="1:18" thickTop="1" thickBot="1">
      <c r="A85" s="16" t="s">
        <v>98</v>
      </c>
      <c r="B85">
        <v>86</v>
      </c>
      <c r="C85">
        <v>98</v>
      </c>
      <c r="D85">
        <v>80</v>
      </c>
      <c r="E85">
        <v>97</v>
      </c>
      <c r="F85">
        <v>94</v>
      </c>
      <c r="G85">
        <v>10</v>
      </c>
      <c r="H85">
        <v>2</v>
      </c>
      <c r="I85">
        <f t="shared" si="8"/>
        <v>91.800000000000011</v>
      </c>
      <c r="J85" s="1">
        <f t="shared" si="9"/>
        <v>91.800000000000011</v>
      </c>
      <c r="K85">
        <f t="shared" si="10"/>
        <v>11</v>
      </c>
      <c r="L85" s="14" t="str">
        <f t="shared" si="11"/>
        <v>S+</v>
      </c>
      <c r="M85" t="s">
        <v>181</v>
      </c>
      <c r="N85" t="s">
        <v>179</v>
      </c>
      <c r="O85" t="s">
        <v>60</v>
      </c>
      <c r="Q85" s="14">
        <v>3</v>
      </c>
      <c r="R85" t="s">
        <v>52</v>
      </c>
    </row>
    <row r="86" spans="1:18" thickTop="1" thickBot="1">
      <c r="A86" s="16" t="s">
        <v>99</v>
      </c>
      <c r="B86">
        <v>43</v>
      </c>
      <c r="C86">
        <v>82</v>
      </c>
      <c r="D86">
        <v>0</v>
      </c>
      <c r="E86">
        <v>0</v>
      </c>
      <c r="F86">
        <v>0</v>
      </c>
      <c r="G86">
        <v>0</v>
      </c>
      <c r="H86">
        <v>0</v>
      </c>
      <c r="I86">
        <f t="shared" si="8"/>
        <v>40.5</v>
      </c>
      <c r="J86" s="1">
        <f t="shared" si="9"/>
        <v>40.5</v>
      </c>
      <c r="K86">
        <f t="shared" si="10"/>
        <v>154</v>
      </c>
      <c r="L86" s="14" t="str">
        <f t="shared" si="11"/>
        <v>D</v>
      </c>
    </row>
    <row r="87" spans="1:18" thickTop="1" thickBot="1">
      <c r="A87" s="16" t="s">
        <v>100</v>
      </c>
      <c r="B87">
        <v>56</v>
      </c>
      <c r="C87">
        <v>46</v>
      </c>
      <c r="D87">
        <v>0</v>
      </c>
      <c r="E87">
        <v>0</v>
      </c>
      <c r="F87">
        <v>0</v>
      </c>
      <c r="G87">
        <v>0</v>
      </c>
      <c r="H87">
        <v>0</v>
      </c>
      <c r="I87">
        <f t="shared" si="8"/>
        <v>33.6</v>
      </c>
      <c r="J87" s="1">
        <f t="shared" si="9"/>
        <v>33.6</v>
      </c>
      <c r="K87">
        <f t="shared" si="10"/>
        <v>159</v>
      </c>
      <c r="L87" s="14" t="str">
        <f t="shared" si="11"/>
        <v>D</v>
      </c>
    </row>
    <row r="88" spans="1:18" thickTop="1" thickBot="1">
      <c r="A88" s="16" t="s">
        <v>101</v>
      </c>
      <c r="B88">
        <v>87</v>
      </c>
      <c r="C88">
        <v>85</v>
      </c>
      <c r="D88">
        <v>88</v>
      </c>
      <c r="E88">
        <v>84</v>
      </c>
      <c r="F88">
        <v>86</v>
      </c>
      <c r="G88">
        <v>10</v>
      </c>
      <c r="H88">
        <v>1</v>
      </c>
      <c r="I88">
        <f t="shared" si="8"/>
        <v>86.3</v>
      </c>
      <c r="J88" s="1">
        <f t="shared" si="9"/>
        <v>86.3</v>
      </c>
      <c r="K88">
        <f t="shared" si="10"/>
        <v>31</v>
      </c>
      <c r="L88" s="14" t="str">
        <f t="shared" si="11"/>
        <v>S</v>
      </c>
      <c r="M88" t="s">
        <v>24</v>
      </c>
      <c r="N88" t="s">
        <v>35</v>
      </c>
      <c r="O88" t="s">
        <v>28</v>
      </c>
      <c r="R88" t="s">
        <v>52</v>
      </c>
    </row>
    <row r="89" spans="1:18" thickTop="1" thickBot="1">
      <c r="A89" s="16" t="s">
        <v>102</v>
      </c>
      <c r="B89">
        <v>84</v>
      </c>
      <c r="C89">
        <v>85</v>
      </c>
      <c r="D89">
        <v>83</v>
      </c>
      <c r="E89">
        <v>89</v>
      </c>
      <c r="F89">
        <v>87</v>
      </c>
      <c r="G89">
        <v>10</v>
      </c>
      <c r="H89">
        <v>1</v>
      </c>
      <c r="I89">
        <f t="shared" si="8"/>
        <v>85.250000000000014</v>
      </c>
      <c r="J89" s="1">
        <f t="shared" si="9"/>
        <v>85.250000000000014</v>
      </c>
      <c r="K89">
        <f t="shared" si="10"/>
        <v>35</v>
      </c>
      <c r="L89" s="14" t="str">
        <f t="shared" si="11"/>
        <v>S</v>
      </c>
      <c r="M89" t="s">
        <v>27</v>
      </c>
      <c r="N89" t="s">
        <v>21</v>
      </c>
      <c r="O89" t="s">
        <v>33</v>
      </c>
      <c r="Q89" s="14" t="s">
        <v>183</v>
      </c>
      <c r="R89" t="s">
        <v>52</v>
      </c>
    </row>
    <row r="90" spans="1:18" thickTop="1" thickBot="1">
      <c r="A90" s="16" t="s">
        <v>103</v>
      </c>
      <c r="B90">
        <v>92</v>
      </c>
      <c r="C90">
        <v>90</v>
      </c>
      <c r="D90">
        <v>92</v>
      </c>
      <c r="E90">
        <v>91</v>
      </c>
      <c r="F90">
        <v>96</v>
      </c>
      <c r="G90">
        <v>10</v>
      </c>
      <c r="H90">
        <v>1</v>
      </c>
      <c r="I90">
        <f t="shared" si="8"/>
        <v>91.6</v>
      </c>
      <c r="J90" s="1">
        <f t="shared" si="9"/>
        <v>91.6</v>
      </c>
      <c r="K90">
        <f t="shared" si="10"/>
        <v>12</v>
      </c>
      <c r="L90" s="14" t="str">
        <f t="shared" si="11"/>
        <v>S+</v>
      </c>
      <c r="M90" t="s">
        <v>33</v>
      </c>
      <c r="N90" t="s">
        <v>22</v>
      </c>
      <c r="O90" t="s">
        <v>28</v>
      </c>
      <c r="Q90" s="14">
        <v>3</v>
      </c>
      <c r="R90" t="s">
        <v>52</v>
      </c>
    </row>
    <row r="91" spans="1:18" thickTop="1" thickBot="1">
      <c r="A91" s="16" t="s">
        <v>104</v>
      </c>
      <c r="B91">
        <v>83</v>
      </c>
      <c r="C91">
        <v>79</v>
      </c>
      <c r="D91">
        <v>75</v>
      </c>
      <c r="E91">
        <v>78</v>
      </c>
      <c r="F91">
        <v>84</v>
      </c>
      <c r="G91">
        <v>10</v>
      </c>
      <c r="H91">
        <v>1</v>
      </c>
      <c r="I91">
        <f t="shared" si="8"/>
        <v>80.55</v>
      </c>
      <c r="J91" s="1">
        <f t="shared" si="9"/>
        <v>80.55</v>
      </c>
      <c r="K91">
        <f t="shared" si="10"/>
        <v>73</v>
      </c>
      <c r="L91" s="14" t="str">
        <f t="shared" si="11"/>
        <v>A+</v>
      </c>
      <c r="M91" t="s">
        <v>19</v>
      </c>
      <c r="N91" t="s">
        <v>28</v>
      </c>
      <c r="O91" t="s">
        <v>24</v>
      </c>
      <c r="R91" t="s">
        <v>245</v>
      </c>
    </row>
    <row r="92" spans="1:18" thickTop="1" thickBot="1">
      <c r="A92" s="16" t="s">
        <v>105</v>
      </c>
      <c r="B92">
        <v>76</v>
      </c>
      <c r="C92">
        <v>79</v>
      </c>
      <c r="D92">
        <v>79</v>
      </c>
      <c r="E92">
        <v>81</v>
      </c>
      <c r="F92">
        <v>78</v>
      </c>
      <c r="G92">
        <v>10</v>
      </c>
      <c r="H92">
        <v>0</v>
      </c>
      <c r="I92">
        <f t="shared" si="8"/>
        <v>77.75</v>
      </c>
      <c r="J92" s="1">
        <f t="shared" si="9"/>
        <v>77.75</v>
      </c>
      <c r="K92">
        <f t="shared" si="10"/>
        <v>88</v>
      </c>
      <c r="L92" s="14" t="str">
        <f t="shared" si="11"/>
        <v>A</v>
      </c>
      <c r="M92" t="s">
        <v>40</v>
      </c>
      <c r="N92" t="s">
        <v>28</v>
      </c>
      <c r="O92" t="s">
        <v>35</v>
      </c>
      <c r="P92" s="14">
        <v>3</v>
      </c>
      <c r="R92" t="s">
        <v>52</v>
      </c>
    </row>
    <row r="93" spans="1:18" thickTop="1" thickBot="1">
      <c r="A93" s="16" t="s">
        <v>106</v>
      </c>
      <c r="B93">
        <v>69</v>
      </c>
      <c r="C93">
        <v>76</v>
      </c>
      <c r="D93">
        <v>71</v>
      </c>
      <c r="E93">
        <v>77</v>
      </c>
      <c r="F93">
        <v>75</v>
      </c>
      <c r="G93">
        <v>6</v>
      </c>
      <c r="H93">
        <v>0</v>
      </c>
      <c r="I93">
        <f t="shared" si="8"/>
        <v>72.649999999999991</v>
      </c>
      <c r="J93" s="1">
        <f t="shared" si="9"/>
        <v>72.649999999999991</v>
      </c>
      <c r="K93">
        <f t="shared" si="10"/>
        <v>107</v>
      </c>
      <c r="L93" s="14" t="str">
        <f t="shared" si="11"/>
        <v>A</v>
      </c>
      <c r="M93" t="s">
        <v>60</v>
      </c>
      <c r="N93" t="s">
        <v>28</v>
      </c>
      <c r="O93" t="s">
        <v>73</v>
      </c>
      <c r="R93" t="s">
        <v>52</v>
      </c>
    </row>
    <row r="94" spans="1:18" thickTop="1" thickBot="1">
      <c r="A94" s="16" t="s">
        <v>107</v>
      </c>
      <c r="B94">
        <v>85</v>
      </c>
      <c r="C94">
        <v>91</v>
      </c>
      <c r="D94">
        <v>90</v>
      </c>
      <c r="E94">
        <v>82</v>
      </c>
      <c r="F94">
        <v>87</v>
      </c>
      <c r="G94">
        <v>8</v>
      </c>
      <c r="H94">
        <v>0</v>
      </c>
      <c r="I94">
        <f t="shared" si="8"/>
        <v>86.600000000000009</v>
      </c>
      <c r="J94" s="1">
        <f t="shared" si="9"/>
        <v>86.600000000000009</v>
      </c>
      <c r="K94">
        <f t="shared" si="10"/>
        <v>26</v>
      </c>
      <c r="L94" s="14" t="str">
        <f t="shared" si="11"/>
        <v>S</v>
      </c>
      <c r="M94" t="s">
        <v>35</v>
      </c>
      <c r="N94" t="s">
        <v>24</v>
      </c>
      <c r="O94" t="s">
        <v>28</v>
      </c>
    </row>
    <row r="95" spans="1:18" thickTop="1" thickBot="1">
      <c r="A95" s="16" t="s">
        <v>108</v>
      </c>
      <c r="B95">
        <v>38</v>
      </c>
      <c r="C95">
        <v>70</v>
      </c>
      <c r="D95">
        <v>0</v>
      </c>
      <c r="E95">
        <v>0</v>
      </c>
      <c r="F95">
        <v>0</v>
      </c>
      <c r="G95">
        <v>0</v>
      </c>
      <c r="H95">
        <v>0</v>
      </c>
      <c r="I95">
        <f t="shared" si="8"/>
        <v>35.4</v>
      </c>
      <c r="J95" s="1">
        <f t="shared" si="9"/>
        <v>35.4</v>
      </c>
      <c r="K95">
        <f t="shared" si="10"/>
        <v>158</v>
      </c>
      <c r="L95" s="14" t="str">
        <f t="shared" si="11"/>
        <v>D</v>
      </c>
    </row>
    <row r="96" spans="1:18" s="2" customFormat="1" thickTop="1" thickBot="1">
      <c r="A96" s="16" t="s">
        <v>109</v>
      </c>
      <c r="B96">
        <v>77</v>
      </c>
      <c r="C96">
        <v>92</v>
      </c>
      <c r="D96">
        <v>76</v>
      </c>
      <c r="E96">
        <v>88</v>
      </c>
      <c r="F96">
        <v>80</v>
      </c>
      <c r="G96">
        <v>7</v>
      </c>
      <c r="H96">
        <v>1</v>
      </c>
      <c r="I96">
        <f t="shared" si="8"/>
        <v>83.249999999999986</v>
      </c>
      <c r="J96" s="1">
        <f t="shared" si="9"/>
        <v>83.249999999999986</v>
      </c>
      <c r="K96">
        <f t="shared" si="10"/>
        <v>49</v>
      </c>
      <c r="L96" s="14" t="str">
        <f t="shared" si="11"/>
        <v>A+</v>
      </c>
      <c r="M96" t="s">
        <v>21</v>
      </c>
      <c r="N96" t="s">
        <v>19</v>
      </c>
      <c r="O96" t="s">
        <v>20</v>
      </c>
      <c r="P96" s="14"/>
      <c r="Q96" s="14"/>
      <c r="R96" t="s">
        <v>52</v>
      </c>
    </row>
    <row r="97" spans="1:18" thickTop="1" thickBot="1">
      <c r="A97" s="16" t="s">
        <v>110</v>
      </c>
      <c r="B97">
        <v>38</v>
      </c>
      <c r="C97">
        <v>46</v>
      </c>
      <c r="D97">
        <v>55</v>
      </c>
      <c r="E97">
        <v>44</v>
      </c>
      <c r="F97">
        <v>51</v>
      </c>
      <c r="G97">
        <v>5</v>
      </c>
      <c r="H97">
        <v>0</v>
      </c>
      <c r="I97">
        <f t="shared" si="8"/>
        <v>46.2</v>
      </c>
      <c r="J97" s="1">
        <f t="shared" si="9"/>
        <v>46.2</v>
      </c>
      <c r="K97">
        <f t="shared" si="10"/>
        <v>143</v>
      </c>
      <c r="L97" s="14" t="str">
        <f t="shared" si="11"/>
        <v>D</v>
      </c>
      <c r="R97" t="s">
        <v>52</v>
      </c>
    </row>
    <row r="98" spans="1:18" s="2" customFormat="1" thickTop="1" thickBot="1">
      <c r="A98" s="16" t="s">
        <v>111</v>
      </c>
      <c r="B98">
        <v>81</v>
      </c>
      <c r="C98">
        <v>54</v>
      </c>
      <c r="D98">
        <v>0</v>
      </c>
      <c r="E98">
        <v>0</v>
      </c>
      <c r="F98">
        <v>0</v>
      </c>
      <c r="G98">
        <v>0</v>
      </c>
      <c r="H98">
        <v>0</v>
      </c>
      <c r="I98">
        <f t="shared" ref="I98:I129" si="12">(AVERAGE(B98*0.3,C98*0.3,D98*0.15,E98*0.1,F98*0.1,G98*0.05)*6)+3+H98</f>
        <v>43.5</v>
      </c>
      <c r="J98" s="1">
        <f t="shared" ref="J98:J129" si="13">(AVERAGE(B98*0.3,C98*0.3,D98*0.15,E98*0.1,F98*0.1,G98*0.05)*6)+3+H98</f>
        <v>43.5</v>
      </c>
      <c r="K98">
        <f t="shared" ref="K98:K129" si="14">IF(I98&lt;&gt;"", RANK(I98, I:I, 0), "")</f>
        <v>145</v>
      </c>
      <c r="L98" s="14" t="str">
        <f t="shared" ref="L98:L129" si="15">IF(I98&gt;=89.5,"S+",IF(I98&gt;=84.5,"S",IF(I98&gt;=79.5,"A+",IF(I98&gt;=69.5,"A",IF(I98&gt;=59.5,"B",IF(I98&gt;=49.5,"C","D"))))))</f>
        <v>D</v>
      </c>
      <c r="M98"/>
      <c r="N98"/>
      <c r="O98"/>
      <c r="P98" s="14"/>
      <c r="Q98" s="14"/>
      <c r="R98"/>
    </row>
    <row r="99" spans="1:18" thickTop="1" thickBot="1">
      <c r="A99" s="16" t="s">
        <v>112</v>
      </c>
      <c r="B99">
        <v>87</v>
      </c>
      <c r="C99">
        <v>84</v>
      </c>
      <c r="D99">
        <v>81</v>
      </c>
      <c r="E99">
        <v>83</v>
      </c>
      <c r="F99">
        <v>85</v>
      </c>
      <c r="G99">
        <v>10</v>
      </c>
      <c r="H99">
        <v>0</v>
      </c>
      <c r="I99">
        <f t="shared" si="12"/>
        <v>83.75</v>
      </c>
      <c r="J99" s="1">
        <f t="shared" si="13"/>
        <v>83.75</v>
      </c>
      <c r="K99">
        <f t="shared" si="14"/>
        <v>44</v>
      </c>
      <c r="L99" s="14" t="str">
        <f t="shared" si="15"/>
        <v>A+</v>
      </c>
      <c r="M99" t="s">
        <v>27</v>
      </c>
      <c r="N99" t="s">
        <v>35</v>
      </c>
      <c r="O99" t="s">
        <v>32</v>
      </c>
      <c r="P99" s="14">
        <v>3</v>
      </c>
      <c r="Q99" s="14" t="s">
        <v>183</v>
      </c>
      <c r="R99" t="s">
        <v>52</v>
      </c>
    </row>
    <row r="100" spans="1:18" thickTop="1" thickBot="1">
      <c r="A100" s="16" t="s">
        <v>113</v>
      </c>
      <c r="B100">
        <v>55</v>
      </c>
      <c r="C100">
        <v>63</v>
      </c>
      <c r="D100">
        <v>59</v>
      </c>
      <c r="E100">
        <v>60</v>
      </c>
      <c r="F100">
        <v>58</v>
      </c>
      <c r="G100">
        <v>3</v>
      </c>
      <c r="H100">
        <v>0</v>
      </c>
      <c r="I100">
        <f t="shared" si="12"/>
        <v>59.199999999999989</v>
      </c>
      <c r="J100" s="1">
        <f t="shared" si="13"/>
        <v>59.199999999999989</v>
      </c>
      <c r="K100">
        <f t="shared" si="14"/>
        <v>125</v>
      </c>
      <c r="L100" s="14" t="str">
        <f t="shared" si="15"/>
        <v>C</v>
      </c>
      <c r="R100" t="s">
        <v>52</v>
      </c>
    </row>
    <row r="101" spans="1:18" thickTop="1" thickBot="1">
      <c r="A101" s="16" t="s">
        <v>114</v>
      </c>
      <c r="B101">
        <v>82</v>
      </c>
      <c r="C101">
        <v>80</v>
      </c>
      <c r="D101">
        <v>78</v>
      </c>
      <c r="E101">
        <v>77</v>
      </c>
      <c r="F101">
        <v>80</v>
      </c>
      <c r="G101">
        <v>7</v>
      </c>
      <c r="H101">
        <v>2</v>
      </c>
      <c r="I101">
        <f t="shared" si="12"/>
        <v>81.349999999999994</v>
      </c>
      <c r="J101" s="1">
        <f t="shared" si="13"/>
        <v>81.349999999999994</v>
      </c>
      <c r="K101">
        <f t="shared" si="14"/>
        <v>66</v>
      </c>
      <c r="L101" s="14" t="str">
        <f t="shared" si="15"/>
        <v>A+</v>
      </c>
    </row>
    <row r="102" spans="1:18" thickTop="1" thickBot="1">
      <c r="A102" s="16" t="s">
        <v>115</v>
      </c>
      <c r="B102">
        <v>79</v>
      </c>
      <c r="C102">
        <v>82</v>
      </c>
      <c r="D102">
        <v>77</v>
      </c>
      <c r="E102">
        <v>81</v>
      </c>
      <c r="F102">
        <v>78</v>
      </c>
      <c r="G102">
        <v>8</v>
      </c>
      <c r="H102">
        <v>3</v>
      </c>
      <c r="I102">
        <f t="shared" si="12"/>
        <v>82.149999999999991</v>
      </c>
      <c r="J102" s="1">
        <f t="shared" si="13"/>
        <v>82.149999999999991</v>
      </c>
      <c r="K102">
        <f t="shared" si="14"/>
        <v>57</v>
      </c>
      <c r="L102" s="14" t="str">
        <f t="shared" si="15"/>
        <v>A+</v>
      </c>
      <c r="M102" t="s">
        <v>21</v>
      </c>
      <c r="N102" t="s">
        <v>33</v>
      </c>
      <c r="O102" t="s">
        <v>153</v>
      </c>
      <c r="R102" t="s">
        <v>52</v>
      </c>
    </row>
    <row r="103" spans="1:18" thickTop="1" thickBot="1">
      <c r="A103" s="16" t="s">
        <v>185</v>
      </c>
      <c r="B103">
        <v>86</v>
      </c>
      <c r="C103">
        <v>90</v>
      </c>
      <c r="D103">
        <v>92</v>
      </c>
      <c r="E103">
        <v>87</v>
      </c>
      <c r="F103">
        <v>92</v>
      </c>
      <c r="G103">
        <v>9</v>
      </c>
      <c r="H103">
        <v>2.0499999999999998</v>
      </c>
      <c r="I103">
        <f t="shared" si="12"/>
        <v>90</v>
      </c>
      <c r="J103" s="1">
        <f t="shared" si="13"/>
        <v>90</v>
      </c>
      <c r="K103">
        <f t="shared" si="14"/>
        <v>15</v>
      </c>
      <c r="L103" s="14" t="str">
        <f t="shared" si="15"/>
        <v>S+</v>
      </c>
      <c r="M103" t="s">
        <v>21</v>
      </c>
      <c r="N103" t="s">
        <v>22</v>
      </c>
      <c r="O103" t="s">
        <v>35</v>
      </c>
      <c r="R103" t="s">
        <v>52</v>
      </c>
    </row>
    <row r="104" spans="1:18" thickTop="1" thickBot="1">
      <c r="A104" s="16" t="s">
        <v>116</v>
      </c>
      <c r="B104">
        <v>80</v>
      </c>
      <c r="C104">
        <v>82</v>
      </c>
      <c r="D104">
        <v>81</v>
      </c>
      <c r="E104">
        <v>82</v>
      </c>
      <c r="F104">
        <v>85</v>
      </c>
      <c r="G104">
        <v>10</v>
      </c>
      <c r="H104">
        <v>1</v>
      </c>
      <c r="I104">
        <f t="shared" si="12"/>
        <v>81.949999999999989</v>
      </c>
      <c r="J104" s="1">
        <f t="shared" si="13"/>
        <v>81.949999999999989</v>
      </c>
      <c r="K104">
        <f t="shared" si="14"/>
        <v>60</v>
      </c>
      <c r="L104" s="14" t="str">
        <f t="shared" si="15"/>
        <v>A+</v>
      </c>
      <c r="M104" t="s">
        <v>24</v>
      </c>
      <c r="N104" t="s">
        <v>22</v>
      </c>
      <c r="O104" t="s">
        <v>67</v>
      </c>
      <c r="Q104" s="14" t="s">
        <v>183</v>
      </c>
      <c r="R104" t="s">
        <v>52</v>
      </c>
    </row>
    <row r="105" spans="1:18" thickTop="1" thickBot="1">
      <c r="A105" s="16" t="s">
        <v>191</v>
      </c>
      <c r="B105" s="2">
        <v>0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>
        <f t="shared" si="12"/>
        <v>3</v>
      </c>
      <c r="J105" s="1">
        <f t="shared" si="13"/>
        <v>3</v>
      </c>
      <c r="K105">
        <f t="shared" si="14"/>
        <v>165</v>
      </c>
      <c r="L105" s="14" t="str">
        <f t="shared" si="15"/>
        <v>D</v>
      </c>
      <c r="M105" s="2"/>
      <c r="N105" s="2"/>
      <c r="O105" s="2"/>
      <c r="P105" s="15"/>
      <c r="Q105" s="15"/>
      <c r="R105" s="2"/>
    </row>
    <row r="106" spans="1:18" thickTop="1" thickBot="1">
      <c r="A106" s="16" t="s">
        <v>117</v>
      </c>
      <c r="B106">
        <v>80</v>
      </c>
      <c r="C106">
        <v>81</v>
      </c>
      <c r="D106">
        <v>82</v>
      </c>
      <c r="E106">
        <v>78</v>
      </c>
      <c r="F106">
        <v>80</v>
      </c>
      <c r="G106">
        <v>5</v>
      </c>
      <c r="H106">
        <v>0</v>
      </c>
      <c r="I106">
        <f t="shared" si="12"/>
        <v>79.649999999999991</v>
      </c>
      <c r="J106" s="1">
        <f t="shared" si="13"/>
        <v>79.649999999999991</v>
      </c>
      <c r="K106">
        <f t="shared" si="14"/>
        <v>77</v>
      </c>
      <c r="L106" s="14" t="str">
        <f t="shared" si="15"/>
        <v>A+</v>
      </c>
      <c r="M106" t="s">
        <v>118</v>
      </c>
      <c r="N106" t="s">
        <v>28</v>
      </c>
      <c r="O106" t="s">
        <v>73</v>
      </c>
      <c r="R106" t="s">
        <v>52</v>
      </c>
    </row>
    <row r="107" spans="1:18" thickTop="1" thickBot="1">
      <c r="A107" s="16" t="s">
        <v>194</v>
      </c>
      <c r="B107" s="2">
        <v>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>
        <f t="shared" si="12"/>
        <v>3</v>
      </c>
      <c r="J107" s="1">
        <f t="shared" si="13"/>
        <v>3</v>
      </c>
      <c r="K107">
        <f t="shared" si="14"/>
        <v>165</v>
      </c>
      <c r="L107" s="14" t="str">
        <f t="shared" si="15"/>
        <v>D</v>
      </c>
      <c r="M107" s="2"/>
      <c r="N107" s="2"/>
      <c r="O107" s="2"/>
      <c r="P107" s="15"/>
      <c r="Q107" s="15"/>
      <c r="R107" s="2"/>
    </row>
    <row r="108" spans="1:18" thickTop="1" thickBot="1">
      <c r="A108" s="16" t="s">
        <v>213</v>
      </c>
      <c r="B108" s="2">
        <v>77</v>
      </c>
      <c r="C108" s="2">
        <v>75</v>
      </c>
      <c r="D108" s="2">
        <v>72</v>
      </c>
      <c r="E108" s="2">
        <v>81</v>
      </c>
      <c r="F108" s="2">
        <v>79</v>
      </c>
      <c r="G108" s="2">
        <v>4</v>
      </c>
      <c r="H108" s="2">
        <v>0</v>
      </c>
      <c r="I108">
        <f t="shared" si="12"/>
        <v>75.599999999999994</v>
      </c>
      <c r="J108" s="1">
        <f t="shared" si="13"/>
        <v>75.599999999999994</v>
      </c>
      <c r="K108">
        <f t="shared" si="14"/>
        <v>96</v>
      </c>
      <c r="L108" s="14" t="str">
        <f t="shared" si="15"/>
        <v>A</v>
      </c>
      <c r="M108" t="s">
        <v>21</v>
      </c>
      <c r="N108" t="s">
        <v>153</v>
      </c>
      <c r="O108" t="s">
        <v>60</v>
      </c>
    </row>
    <row r="109" spans="1:18" thickTop="1" thickBot="1">
      <c r="A109" s="16" t="s">
        <v>119</v>
      </c>
      <c r="B109">
        <v>69</v>
      </c>
      <c r="C109">
        <v>72</v>
      </c>
      <c r="D109">
        <v>66</v>
      </c>
      <c r="E109">
        <v>69</v>
      </c>
      <c r="F109">
        <v>74</v>
      </c>
      <c r="G109">
        <v>7</v>
      </c>
      <c r="H109">
        <v>0</v>
      </c>
      <c r="I109">
        <f t="shared" si="12"/>
        <v>69.849999999999994</v>
      </c>
      <c r="J109" s="1">
        <f t="shared" si="13"/>
        <v>69.849999999999994</v>
      </c>
      <c r="K109">
        <f t="shared" si="14"/>
        <v>113</v>
      </c>
      <c r="L109" s="14" t="str">
        <f t="shared" si="15"/>
        <v>A</v>
      </c>
    </row>
    <row r="110" spans="1:18" thickTop="1" thickBot="1">
      <c r="A110" s="16" t="s">
        <v>120</v>
      </c>
      <c r="B110">
        <v>76</v>
      </c>
      <c r="C110">
        <v>80</v>
      </c>
      <c r="D110">
        <v>83</v>
      </c>
      <c r="E110">
        <v>74</v>
      </c>
      <c r="F110">
        <v>79</v>
      </c>
      <c r="G110">
        <v>10</v>
      </c>
      <c r="H110">
        <v>0</v>
      </c>
      <c r="I110">
        <f t="shared" si="12"/>
        <v>78.050000000000011</v>
      </c>
      <c r="J110" s="1">
        <f t="shared" si="13"/>
        <v>78.050000000000011</v>
      </c>
      <c r="K110">
        <f t="shared" si="14"/>
        <v>86</v>
      </c>
      <c r="L110" s="14" t="str">
        <f t="shared" si="15"/>
        <v>A</v>
      </c>
      <c r="M110" t="s">
        <v>27</v>
      </c>
      <c r="N110" t="s">
        <v>60</v>
      </c>
      <c r="O110" t="s">
        <v>24</v>
      </c>
      <c r="P110" s="14">
        <v>3</v>
      </c>
      <c r="Q110" s="14" t="s">
        <v>183</v>
      </c>
      <c r="R110" t="s">
        <v>52</v>
      </c>
    </row>
    <row r="111" spans="1:18" thickTop="1" thickBot="1">
      <c r="A111" s="16" t="s">
        <v>121</v>
      </c>
      <c r="B111">
        <v>50</v>
      </c>
      <c r="C111">
        <v>83</v>
      </c>
      <c r="D111">
        <v>0</v>
      </c>
      <c r="E111">
        <v>0</v>
      </c>
      <c r="F111">
        <v>0</v>
      </c>
      <c r="G111">
        <v>0</v>
      </c>
      <c r="H111">
        <v>0</v>
      </c>
      <c r="I111">
        <f t="shared" si="12"/>
        <v>42.9</v>
      </c>
      <c r="J111" s="1">
        <f t="shared" si="13"/>
        <v>42.9</v>
      </c>
      <c r="K111">
        <f t="shared" si="14"/>
        <v>148</v>
      </c>
      <c r="L111" s="14" t="str">
        <f t="shared" si="15"/>
        <v>D</v>
      </c>
    </row>
    <row r="112" spans="1:18" thickTop="1" thickBot="1">
      <c r="A112" s="16" t="s">
        <v>122</v>
      </c>
      <c r="B112">
        <v>92</v>
      </c>
      <c r="C112">
        <v>95</v>
      </c>
      <c r="D112">
        <v>95</v>
      </c>
      <c r="E112">
        <v>96</v>
      </c>
      <c r="F112">
        <v>94</v>
      </c>
      <c r="G112">
        <v>10</v>
      </c>
      <c r="H112">
        <v>1</v>
      </c>
      <c r="I112">
        <f t="shared" si="12"/>
        <v>93.85</v>
      </c>
      <c r="J112" s="1">
        <f t="shared" si="13"/>
        <v>93.85</v>
      </c>
      <c r="K112">
        <f t="shared" si="14"/>
        <v>7</v>
      </c>
      <c r="L112" s="14" t="str">
        <f t="shared" si="15"/>
        <v>S+</v>
      </c>
      <c r="M112" t="s">
        <v>35</v>
      </c>
      <c r="N112" t="s">
        <v>33</v>
      </c>
      <c r="O112" t="s">
        <v>32</v>
      </c>
      <c r="P112" s="14">
        <v>3</v>
      </c>
      <c r="Q112" s="14">
        <v>3</v>
      </c>
    </row>
    <row r="113" spans="1:18" thickTop="1" thickBot="1">
      <c r="A113" s="16" t="s">
        <v>123</v>
      </c>
      <c r="B113">
        <v>76</v>
      </c>
      <c r="C113">
        <v>56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f t="shared" si="12"/>
        <v>42.6</v>
      </c>
      <c r="J113" s="1">
        <f t="shared" si="13"/>
        <v>42.6</v>
      </c>
      <c r="K113">
        <f t="shared" si="14"/>
        <v>149</v>
      </c>
      <c r="L113" s="14" t="str">
        <f t="shared" si="15"/>
        <v>D</v>
      </c>
    </row>
    <row r="114" spans="1:18" thickTop="1" thickBot="1">
      <c r="A114" s="16" t="s">
        <v>193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f t="shared" si="12"/>
        <v>3</v>
      </c>
      <c r="J114" s="1">
        <f t="shared" si="13"/>
        <v>3</v>
      </c>
      <c r="K114">
        <f t="shared" si="14"/>
        <v>165</v>
      </c>
      <c r="L114" s="14" t="str">
        <f t="shared" si="15"/>
        <v>D</v>
      </c>
    </row>
    <row r="115" spans="1:18" thickTop="1" thickBot="1">
      <c r="A115" s="16" t="s">
        <v>124</v>
      </c>
      <c r="B115">
        <v>84</v>
      </c>
      <c r="C115">
        <v>85</v>
      </c>
      <c r="D115">
        <v>83</v>
      </c>
      <c r="E115">
        <v>84</v>
      </c>
      <c r="F115">
        <v>83</v>
      </c>
      <c r="G115">
        <v>10</v>
      </c>
      <c r="H115">
        <v>1</v>
      </c>
      <c r="I115">
        <f t="shared" si="12"/>
        <v>84.350000000000009</v>
      </c>
      <c r="J115" s="1">
        <f t="shared" si="13"/>
        <v>84.350000000000009</v>
      </c>
      <c r="K115">
        <f t="shared" si="14"/>
        <v>41</v>
      </c>
      <c r="L115" s="14" t="str">
        <f t="shared" si="15"/>
        <v>A+</v>
      </c>
      <c r="M115" t="s">
        <v>35</v>
      </c>
      <c r="N115" t="s">
        <v>24</v>
      </c>
      <c r="O115" t="s">
        <v>22</v>
      </c>
      <c r="P115" s="14">
        <v>2</v>
      </c>
      <c r="Q115" s="14" t="s">
        <v>183</v>
      </c>
      <c r="R115" t="s">
        <v>52</v>
      </c>
    </row>
    <row r="116" spans="1:18" s="2" customFormat="1" thickTop="1" thickBot="1">
      <c r="A116" s="16" t="s">
        <v>125</v>
      </c>
      <c r="B116">
        <v>76</v>
      </c>
      <c r="C116">
        <v>88</v>
      </c>
      <c r="D116">
        <v>79</v>
      </c>
      <c r="E116">
        <v>82</v>
      </c>
      <c r="F116">
        <v>84</v>
      </c>
      <c r="G116">
        <v>10</v>
      </c>
      <c r="H116">
        <v>4</v>
      </c>
      <c r="I116">
        <f t="shared" si="12"/>
        <v>85.15</v>
      </c>
      <c r="J116" s="1">
        <f t="shared" si="13"/>
        <v>85.15</v>
      </c>
      <c r="K116">
        <f t="shared" si="14"/>
        <v>36</v>
      </c>
      <c r="L116" s="14" t="str">
        <f t="shared" si="15"/>
        <v>S</v>
      </c>
      <c r="M116"/>
      <c r="N116"/>
      <c r="O116"/>
      <c r="P116" s="14"/>
      <c r="Q116" s="14"/>
      <c r="R116"/>
    </row>
    <row r="117" spans="1:18" thickTop="1" thickBot="1">
      <c r="A117" s="16" t="s">
        <v>236</v>
      </c>
      <c r="B117">
        <v>83</v>
      </c>
      <c r="C117">
        <v>82</v>
      </c>
      <c r="D117">
        <v>76</v>
      </c>
      <c r="E117">
        <v>76</v>
      </c>
      <c r="F117">
        <v>79</v>
      </c>
      <c r="G117">
        <v>6</v>
      </c>
      <c r="H117">
        <v>0</v>
      </c>
      <c r="I117">
        <f t="shared" si="12"/>
        <v>79.7</v>
      </c>
      <c r="J117" s="1">
        <f t="shared" si="13"/>
        <v>79.7</v>
      </c>
      <c r="K117">
        <f t="shared" si="14"/>
        <v>76</v>
      </c>
      <c r="L117" s="14" t="str">
        <f t="shared" si="15"/>
        <v>A+</v>
      </c>
      <c r="M117" t="s">
        <v>60</v>
      </c>
      <c r="N117" t="s">
        <v>67</v>
      </c>
      <c r="O117" t="s">
        <v>73</v>
      </c>
      <c r="R117" t="s">
        <v>52</v>
      </c>
    </row>
    <row r="118" spans="1:18" thickTop="1" thickBot="1">
      <c r="A118" s="16" t="s">
        <v>126</v>
      </c>
      <c r="B118">
        <v>80</v>
      </c>
      <c r="C118">
        <v>74</v>
      </c>
      <c r="D118">
        <v>0</v>
      </c>
      <c r="E118">
        <v>0</v>
      </c>
      <c r="F118">
        <v>0</v>
      </c>
      <c r="G118">
        <v>0</v>
      </c>
      <c r="H118">
        <v>0</v>
      </c>
      <c r="I118">
        <f t="shared" si="12"/>
        <v>49.2</v>
      </c>
      <c r="J118" s="1">
        <f t="shared" si="13"/>
        <v>49.2</v>
      </c>
      <c r="K118">
        <f t="shared" si="14"/>
        <v>135</v>
      </c>
      <c r="L118" s="14" t="str">
        <f t="shared" si="15"/>
        <v>D</v>
      </c>
    </row>
    <row r="119" spans="1:18" thickTop="1" thickBot="1">
      <c r="A119" s="16" t="s">
        <v>127</v>
      </c>
      <c r="B119">
        <v>90</v>
      </c>
      <c r="C119">
        <v>93</v>
      </c>
      <c r="D119">
        <v>91</v>
      </c>
      <c r="E119">
        <v>92</v>
      </c>
      <c r="F119">
        <v>94</v>
      </c>
      <c r="G119">
        <v>10</v>
      </c>
      <c r="H119">
        <v>2</v>
      </c>
      <c r="I119">
        <f t="shared" si="12"/>
        <v>92.65</v>
      </c>
      <c r="J119" s="1">
        <f t="shared" si="13"/>
        <v>92.65</v>
      </c>
      <c r="K119">
        <f t="shared" si="14"/>
        <v>8</v>
      </c>
      <c r="L119" s="14" t="str">
        <f t="shared" si="15"/>
        <v>S+</v>
      </c>
      <c r="M119" t="s">
        <v>21</v>
      </c>
      <c r="N119" t="s">
        <v>19</v>
      </c>
      <c r="O119" t="s">
        <v>28</v>
      </c>
      <c r="Q119" s="14">
        <v>2</v>
      </c>
      <c r="R119" t="s">
        <v>52</v>
      </c>
    </row>
    <row r="120" spans="1:18" thickTop="1" thickBot="1">
      <c r="A120" s="16" t="s">
        <v>128</v>
      </c>
      <c r="B120">
        <v>85</v>
      </c>
      <c r="C120">
        <v>95</v>
      </c>
      <c r="D120">
        <v>87</v>
      </c>
      <c r="E120">
        <v>92</v>
      </c>
      <c r="F120">
        <v>88</v>
      </c>
      <c r="G120">
        <v>6</v>
      </c>
      <c r="H120">
        <v>0</v>
      </c>
      <c r="I120">
        <f t="shared" si="12"/>
        <v>88.35</v>
      </c>
      <c r="J120" s="1">
        <f t="shared" si="13"/>
        <v>88.35</v>
      </c>
      <c r="K120">
        <f t="shared" si="14"/>
        <v>18</v>
      </c>
      <c r="L120" s="14" t="str">
        <f t="shared" si="15"/>
        <v>S</v>
      </c>
      <c r="M120" t="s">
        <v>21</v>
      </c>
      <c r="N120" t="s">
        <v>33</v>
      </c>
      <c r="O120" t="s">
        <v>35</v>
      </c>
    </row>
    <row r="121" spans="1:18" thickTop="1" thickBot="1">
      <c r="A121" s="16" t="s">
        <v>129</v>
      </c>
      <c r="B121">
        <v>79</v>
      </c>
      <c r="C121">
        <v>82</v>
      </c>
      <c r="D121">
        <v>75</v>
      </c>
      <c r="E121">
        <v>83</v>
      </c>
      <c r="F121">
        <v>77</v>
      </c>
      <c r="G121">
        <v>5</v>
      </c>
      <c r="H121">
        <v>0</v>
      </c>
      <c r="I121">
        <f t="shared" si="12"/>
        <v>78.8</v>
      </c>
      <c r="J121" s="1">
        <f t="shared" si="13"/>
        <v>78.8</v>
      </c>
      <c r="K121">
        <f t="shared" si="14"/>
        <v>83</v>
      </c>
      <c r="L121" s="14" t="str">
        <f t="shared" si="15"/>
        <v>A</v>
      </c>
    </row>
    <row r="122" spans="1:18" s="2" customFormat="1" thickTop="1" thickBot="1">
      <c r="A122" s="16" t="s">
        <v>130</v>
      </c>
      <c r="B122">
        <v>70</v>
      </c>
      <c r="C122">
        <v>73</v>
      </c>
      <c r="D122">
        <v>63</v>
      </c>
      <c r="E122">
        <v>76</v>
      </c>
      <c r="F122">
        <v>69</v>
      </c>
      <c r="G122">
        <v>7</v>
      </c>
      <c r="H122">
        <v>4</v>
      </c>
      <c r="I122">
        <f t="shared" si="12"/>
        <v>74.199999999999989</v>
      </c>
      <c r="J122" s="1">
        <f t="shared" si="13"/>
        <v>74.199999999999989</v>
      </c>
      <c r="K122">
        <f t="shared" si="14"/>
        <v>102</v>
      </c>
      <c r="L122" s="14" t="str">
        <f t="shared" si="15"/>
        <v>A</v>
      </c>
      <c r="M122"/>
      <c r="N122"/>
      <c r="O122"/>
      <c r="P122" s="14"/>
      <c r="Q122" s="14"/>
      <c r="R122"/>
    </row>
    <row r="123" spans="1:18" thickTop="1" thickBot="1">
      <c r="A123" s="16" t="s">
        <v>131</v>
      </c>
      <c r="B123">
        <v>80</v>
      </c>
      <c r="C123">
        <v>86</v>
      </c>
      <c r="D123">
        <v>79</v>
      </c>
      <c r="E123">
        <v>84</v>
      </c>
      <c r="F123">
        <v>81</v>
      </c>
      <c r="G123">
        <v>5</v>
      </c>
      <c r="H123">
        <v>0</v>
      </c>
      <c r="I123">
        <f t="shared" si="12"/>
        <v>81.399999999999991</v>
      </c>
      <c r="J123" s="1">
        <f t="shared" si="13"/>
        <v>81.399999999999991</v>
      </c>
      <c r="K123">
        <f t="shared" si="14"/>
        <v>65</v>
      </c>
      <c r="L123" s="14" t="str">
        <f t="shared" si="15"/>
        <v>A+</v>
      </c>
      <c r="M123" t="s">
        <v>28</v>
      </c>
    </row>
    <row r="124" spans="1:18" thickTop="1" thickBot="1">
      <c r="A124" s="16" t="s">
        <v>202</v>
      </c>
      <c r="B124" s="2">
        <v>74</v>
      </c>
      <c r="C124" s="2">
        <v>68</v>
      </c>
      <c r="D124" s="2">
        <v>78</v>
      </c>
      <c r="E124" s="2">
        <v>79</v>
      </c>
      <c r="F124" s="2">
        <v>81</v>
      </c>
      <c r="G124" s="2">
        <v>3</v>
      </c>
      <c r="H124" s="2">
        <v>0</v>
      </c>
      <c r="I124">
        <f t="shared" si="12"/>
        <v>73.45</v>
      </c>
      <c r="J124" s="1">
        <f t="shared" si="13"/>
        <v>73.45</v>
      </c>
      <c r="K124">
        <f t="shared" si="14"/>
        <v>104</v>
      </c>
      <c r="L124" s="14" t="str">
        <f t="shared" si="15"/>
        <v>A</v>
      </c>
      <c r="M124" s="2" t="s">
        <v>118</v>
      </c>
      <c r="N124" s="2" t="s">
        <v>60</v>
      </c>
      <c r="O124" s="2" t="s">
        <v>28</v>
      </c>
      <c r="P124" s="15"/>
      <c r="Q124" s="15"/>
      <c r="R124" s="2" t="s">
        <v>52</v>
      </c>
    </row>
    <row r="125" spans="1:18" thickTop="1" thickBot="1">
      <c r="A125" s="16" t="s">
        <v>132</v>
      </c>
      <c r="B125">
        <v>81</v>
      </c>
      <c r="C125">
        <v>84</v>
      </c>
      <c r="D125">
        <v>80</v>
      </c>
      <c r="E125">
        <v>80</v>
      </c>
      <c r="F125">
        <v>82</v>
      </c>
      <c r="G125">
        <v>7</v>
      </c>
      <c r="H125">
        <v>2</v>
      </c>
      <c r="I125">
        <f t="shared" si="12"/>
        <v>83.05</v>
      </c>
      <c r="J125" s="1">
        <f t="shared" si="13"/>
        <v>83.05</v>
      </c>
      <c r="K125">
        <f t="shared" si="14"/>
        <v>50</v>
      </c>
      <c r="L125" s="14" t="str">
        <f t="shared" si="15"/>
        <v>A+</v>
      </c>
      <c r="M125" t="s">
        <v>21</v>
      </c>
      <c r="N125" t="s">
        <v>153</v>
      </c>
      <c r="O125" t="s">
        <v>19</v>
      </c>
      <c r="R125" t="s">
        <v>52</v>
      </c>
    </row>
    <row r="126" spans="1:18" thickTop="1" thickBot="1">
      <c r="A126" s="16" t="s">
        <v>133</v>
      </c>
      <c r="B126">
        <v>83</v>
      </c>
      <c r="C126">
        <v>82</v>
      </c>
      <c r="D126">
        <v>85</v>
      </c>
      <c r="E126">
        <v>79</v>
      </c>
      <c r="F126">
        <v>83</v>
      </c>
      <c r="G126">
        <v>10</v>
      </c>
      <c r="H126">
        <v>0</v>
      </c>
      <c r="I126">
        <f t="shared" si="12"/>
        <v>81.95</v>
      </c>
      <c r="J126" s="1">
        <f t="shared" si="13"/>
        <v>81.95</v>
      </c>
      <c r="K126">
        <f t="shared" si="14"/>
        <v>59</v>
      </c>
      <c r="L126" s="14" t="str">
        <f t="shared" si="15"/>
        <v>A+</v>
      </c>
      <c r="M126" t="s">
        <v>28</v>
      </c>
      <c r="N126" t="s">
        <v>24</v>
      </c>
      <c r="O126" t="s">
        <v>40</v>
      </c>
      <c r="P126" s="14">
        <v>2</v>
      </c>
    </row>
    <row r="127" spans="1:18" thickTop="1" thickBot="1">
      <c r="A127" s="16" t="s">
        <v>195</v>
      </c>
      <c r="B127" s="2">
        <v>70</v>
      </c>
      <c r="C127" s="2">
        <v>72</v>
      </c>
      <c r="D127" s="2">
        <v>68</v>
      </c>
      <c r="E127" s="2">
        <v>64</v>
      </c>
      <c r="F127" s="2">
        <v>74</v>
      </c>
      <c r="G127" s="2">
        <v>5</v>
      </c>
      <c r="H127" s="2">
        <v>-1</v>
      </c>
      <c r="I127">
        <f t="shared" si="12"/>
        <v>68.849999999999994</v>
      </c>
      <c r="J127" s="1">
        <f t="shared" si="13"/>
        <v>68.849999999999994</v>
      </c>
      <c r="K127">
        <f t="shared" si="14"/>
        <v>114</v>
      </c>
      <c r="L127" s="14" t="str">
        <f t="shared" si="15"/>
        <v>B</v>
      </c>
      <c r="M127" s="2" t="s">
        <v>24</v>
      </c>
      <c r="N127" s="2" t="s">
        <v>60</v>
      </c>
      <c r="O127" s="2" t="s">
        <v>28</v>
      </c>
      <c r="P127" s="15"/>
      <c r="Q127" s="15"/>
      <c r="R127" s="2" t="s">
        <v>52</v>
      </c>
    </row>
    <row r="128" spans="1:18" thickTop="1" thickBot="1">
      <c r="A128" s="16" t="s">
        <v>134</v>
      </c>
      <c r="B128">
        <v>52</v>
      </c>
      <c r="C128">
        <v>47</v>
      </c>
      <c r="D128">
        <v>0</v>
      </c>
      <c r="E128">
        <v>0</v>
      </c>
      <c r="F128">
        <v>0</v>
      </c>
      <c r="G128">
        <v>0</v>
      </c>
      <c r="H128">
        <v>0</v>
      </c>
      <c r="I128">
        <f t="shared" si="12"/>
        <v>32.700000000000003</v>
      </c>
      <c r="J128" s="1">
        <f t="shared" si="13"/>
        <v>32.700000000000003</v>
      </c>
      <c r="K128">
        <f t="shared" si="14"/>
        <v>161</v>
      </c>
      <c r="L128" s="14" t="str">
        <f t="shared" si="15"/>
        <v>D</v>
      </c>
    </row>
    <row r="129" spans="1:18" thickTop="1" thickBot="1">
      <c r="A129" s="16" t="s">
        <v>237</v>
      </c>
      <c r="B129">
        <v>91</v>
      </c>
      <c r="C129">
        <v>90</v>
      </c>
      <c r="D129">
        <v>88</v>
      </c>
      <c r="E129">
        <v>92</v>
      </c>
      <c r="F129">
        <v>90</v>
      </c>
      <c r="G129">
        <v>9</v>
      </c>
      <c r="H129">
        <v>1</v>
      </c>
      <c r="I129">
        <f t="shared" si="12"/>
        <v>90.15</v>
      </c>
      <c r="J129" s="1">
        <f t="shared" si="13"/>
        <v>90.15</v>
      </c>
      <c r="K129">
        <f t="shared" si="14"/>
        <v>14</v>
      </c>
      <c r="L129" s="14" t="str">
        <f t="shared" si="15"/>
        <v>S+</v>
      </c>
      <c r="M129" t="s">
        <v>21</v>
      </c>
      <c r="N129" t="s">
        <v>135</v>
      </c>
      <c r="O129" t="s">
        <v>35</v>
      </c>
      <c r="R129" t="s">
        <v>52</v>
      </c>
    </row>
    <row r="130" spans="1:18" thickTop="1" thickBot="1">
      <c r="A130" s="16" t="s">
        <v>192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f t="shared" ref="I130:I161" si="16">(AVERAGE(B130*0.3,C130*0.3,D130*0.15,E130*0.1,F130*0.1,G130*0.05)*6)+3+H130</f>
        <v>3</v>
      </c>
      <c r="J130" s="1">
        <f t="shared" ref="J130:J161" si="17">(AVERAGE(B130*0.3,C130*0.3,D130*0.15,E130*0.1,F130*0.1,G130*0.05)*6)+3+H130</f>
        <v>3</v>
      </c>
      <c r="K130">
        <f t="shared" ref="K130:K161" si="18">IF(I130&lt;&gt;"", RANK(I130, I:I, 0), "")</f>
        <v>165</v>
      </c>
      <c r="L130" s="14" t="str">
        <f t="shared" ref="L130:L161" si="19">IF(I130&gt;=89.5,"S+",IF(I130&gt;=84.5,"S",IF(I130&gt;=79.5,"A+",IF(I130&gt;=69.5,"A",IF(I130&gt;=59.5,"B",IF(I130&gt;=49.5,"C","D"))))))</f>
        <v>D</v>
      </c>
    </row>
    <row r="131" spans="1:18" thickTop="1" thickBot="1">
      <c r="A131" s="16" t="s">
        <v>210</v>
      </c>
      <c r="B131" s="2">
        <v>0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>
        <f t="shared" si="16"/>
        <v>3</v>
      </c>
      <c r="J131" s="1">
        <f t="shared" si="17"/>
        <v>3</v>
      </c>
      <c r="K131">
        <f t="shared" si="18"/>
        <v>165</v>
      </c>
      <c r="L131" s="14" t="str">
        <f t="shared" si="19"/>
        <v>D</v>
      </c>
    </row>
    <row r="132" spans="1:18" thickTop="1" thickBot="1">
      <c r="A132" s="16" t="s">
        <v>136</v>
      </c>
      <c r="B132">
        <v>72</v>
      </c>
      <c r="C132">
        <v>70</v>
      </c>
      <c r="D132">
        <v>64</v>
      </c>
      <c r="E132">
        <v>72</v>
      </c>
      <c r="F132">
        <v>80</v>
      </c>
      <c r="G132">
        <v>10</v>
      </c>
      <c r="H132">
        <v>0</v>
      </c>
      <c r="I132">
        <f t="shared" si="16"/>
        <v>70.900000000000006</v>
      </c>
      <c r="J132" s="1">
        <f t="shared" si="17"/>
        <v>70.900000000000006</v>
      </c>
      <c r="K132">
        <f t="shared" si="18"/>
        <v>109</v>
      </c>
      <c r="L132" s="14" t="str">
        <f t="shared" si="19"/>
        <v>A</v>
      </c>
      <c r="M132" t="s">
        <v>28</v>
      </c>
      <c r="N132" t="s">
        <v>24</v>
      </c>
      <c r="O132" t="s">
        <v>60</v>
      </c>
      <c r="P132" s="14">
        <v>9</v>
      </c>
      <c r="Q132" s="14" t="s">
        <v>183</v>
      </c>
      <c r="R132" t="s">
        <v>52</v>
      </c>
    </row>
    <row r="133" spans="1:18" thickTop="1" thickBot="1">
      <c r="A133" s="16" t="s">
        <v>137</v>
      </c>
      <c r="B133">
        <v>86</v>
      </c>
      <c r="C133">
        <v>86</v>
      </c>
      <c r="D133">
        <v>84</v>
      </c>
      <c r="E133">
        <v>85</v>
      </c>
      <c r="F133">
        <v>87</v>
      </c>
      <c r="G133">
        <v>10</v>
      </c>
      <c r="H133">
        <v>2</v>
      </c>
      <c r="I133">
        <f t="shared" si="16"/>
        <v>86.9</v>
      </c>
      <c r="J133" s="1">
        <f t="shared" si="17"/>
        <v>86.9</v>
      </c>
      <c r="K133">
        <f t="shared" si="18"/>
        <v>25</v>
      </c>
      <c r="L133" s="14" t="str">
        <f t="shared" si="19"/>
        <v>S</v>
      </c>
      <c r="M133" t="s">
        <v>22</v>
      </c>
      <c r="N133" t="s">
        <v>35</v>
      </c>
      <c r="O133" t="s">
        <v>28</v>
      </c>
      <c r="P133" s="14">
        <v>6</v>
      </c>
      <c r="Q133" s="14" t="s">
        <v>183</v>
      </c>
      <c r="R133" t="s">
        <v>52</v>
      </c>
    </row>
    <row r="134" spans="1:18" s="2" customFormat="1" thickTop="1" thickBot="1">
      <c r="A134" s="16" t="s">
        <v>190</v>
      </c>
      <c r="B134" s="2">
        <v>0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>
        <f t="shared" si="16"/>
        <v>3</v>
      </c>
      <c r="J134" s="1">
        <f t="shared" si="17"/>
        <v>3</v>
      </c>
      <c r="K134">
        <f t="shared" si="18"/>
        <v>165</v>
      </c>
      <c r="L134" s="14" t="str">
        <f t="shared" si="19"/>
        <v>D</v>
      </c>
      <c r="P134" s="15"/>
      <c r="Q134" s="15"/>
    </row>
    <row r="135" spans="1:18" thickTop="1" thickBot="1">
      <c r="A135" s="16" t="s">
        <v>138</v>
      </c>
      <c r="B135">
        <v>87</v>
      </c>
      <c r="C135">
        <v>88</v>
      </c>
      <c r="D135">
        <v>86</v>
      </c>
      <c r="E135">
        <v>85</v>
      </c>
      <c r="F135">
        <v>89</v>
      </c>
      <c r="G135">
        <v>10</v>
      </c>
      <c r="H135">
        <v>3</v>
      </c>
      <c r="I135">
        <f t="shared" si="16"/>
        <v>89.300000000000011</v>
      </c>
      <c r="J135" s="1">
        <f t="shared" si="17"/>
        <v>89.300000000000011</v>
      </c>
      <c r="K135">
        <f t="shared" si="18"/>
        <v>16</v>
      </c>
      <c r="L135" s="14" t="str">
        <f t="shared" si="19"/>
        <v>S</v>
      </c>
      <c r="M135" t="s">
        <v>21</v>
      </c>
      <c r="N135" t="s">
        <v>24</v>
      </c>
      <c r="O135" t="s">
        <v>28</v>
      </c>
      <c r="R135" t="s">
        <v>52</v>
      </c>
    </row>
    <row r="136" spans="1:18" thickTop="1" thickBot="1">
      <c r="A136" s="16" t="s">
        <v>139</v>
      </c>
      <c r="B136">
        <v>97</v>
      </c>
      <c r="C136">
        <v>96</v>
      </c>
      <c r="D136">
        <v>96</v>
      </c>
      <c r="E136">
        <v>96</v>
      </c>
      <c r="F136">
        <v>95</v>
      </c>
      <c r="G136">
        <v>10</v>
      </c>
      <c r="H136">
        <v>1</v>
      </c>
      <c r="I136">
        <f t="shared" si="16"/>
        <v>95.899999999999977</v>
      </c>
      <c r="J136" s="1">
        <f t="shared" si="17"/>
        <v>95.899999999999977</v>
      </c>
      <c r="K136">
        <f t="shared" si="18"/>
        <v>2</v>
      </c>
      <c r="L136" s="14" t="str">
        <f t="shared" si="19"/>
        <v>S+</v>
      </c>
      <c r="M136" t="s">
        <v>32</v>
      </c>
      <c r="N136" t="s">
        <v>35</v>
      </c>
      <c r="O136" t="s">
        <v>28</v>
      </c>
      <c r="Q136" s="14">
        <v>1</v>
      </c>
    </row>
    <row r="137" spans="1:18" thickTop="1" thickBot="1">
      <c r="A137" s="16" t="s">
        <v>140</v>
      </c>
      <c r="B137">
        <v>88</v>
      </c>
      <c r="C137">
        <v>90</v>
      </c>
      <c r="D137">
        <v>85</v>
      </c>
      <c r="E137">
        <v>91</v>
      </c>
      <c r="F137">
        <v>86</v>
      </c>
      <c r="G137">
        <v>10</v>
      </c>
      <c r="H137">
        <v>0</v>
      </c>
      <c r="I137">
        <f t="shared" si="16"/>
        <v>87.35</v>
      </c>
      <c r="J137" s="1">
        <f t="shared" si="17"/>
        <v>87.35</v>
      </c>
      <c r="K137">
        <f t="shared" si="18"/>
        <v>22</v>
      </c>
      <c r="L137" s="14" t="str">
        <f t="shared" si="19"/>
        <v>S</v>
      </c>
    </row>
    <row r="138" spans="1:18" thickTop="1" thickBot="1">
      <c r="A138" s="16" t="s">
        <v>141</v>
      </c>
      <c r="B138">
        <v>52</v>
      </c>
      <c r="C138">
        <v>57</v>
      </c>
      <c r="D138">
        <v>60</v>
      </c>
      <c r="E138">
        <v>43</v>
      </c>
      <c r="F138">
        <v>50</v>
      </c>
      <c r="G138">
        <v>2</v>
      </c>
      <c r="H138">
        <v>0</v>
      </c>
      <c r="I138">
        <f t="shared" si="16"/>
        <v>54.099999999999994</v>
      </c>
      <c r="J138" s="1">
        <f t="shared" si="17"/>
        <v>54.099999999999994</v>
      </c>
      <c r="K138">
        <f t="shared" si="18"/>
        <v>131</v>
      </c>
      <c r="L138" s="14" t="str">
        <f t="shared" si="19"/>
        <v>C</v>
      </c>
      <c r="M138" t="s">
        <v>40</v>
      </c>
      <c r="N138" t="s">
        <v>28</v>
      </c>
      <c r="O138" t="s">
        <v>19</v>
      </c>
      <c r="R138" t="s">
        <v>52</v>
      </c>
    </row>
    <row r="139" spans="1:18" thickTop="1" thickBot="1">
      <c r="A139" s="16" t="s">
        <v>206</v>
      </c>
      <c r="B139" s="2">
        <v>0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>
        <f t="shared" si="16"/>
        <v>3</v>
      </c>
      <c r="J139" s="1">
        <f t="shared" si="17"/>
        <v>3</v>
      </c>
      <c r="K139">
        <f t="shared" si="18"/>
        <v>165</v>
      </c>
      <c r="L139" s="14" t="str">
        <f t="shared" si="19"/>
        <v>D</v>
      </c>
      <c r="R139" t="s">
        <v>242</v>
      </c>
    </row>
    <row r="140" spans="1:18" thickTop="1" thickBot="1">
      <c r="A140" s="16" t="s">
        <v>142</v>
      </c>
      <c r="B140">
        <v>57</v>
      </c>
      <c r="C140">
        <v>63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f t="shared" si="16"/>
        <v>39</v>
      </c>
      <c r="J140" s="1">
        <f t="shared" si="17"/>
        <v>39</v>
      </c>
      <c r="K140">
        <f t="shared" si="18"/>
        <v>155</v>
      </c>
      <c r="L140" s="14" t="str">
        <f t="shared" si="19"/>
        <v>D</v>
      </c>
    </row>
    <row r="141" spans="1:18" thickTop="1" thickBot="1">
      <c r="A141" s="16" t="s">
        <v>208</v>
      </c>
      <c r="B141" s="2">
        <v>0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>
        <f t="shared" si="16"/>
        <v>3</v>
      </c>
      <c r="J141" s="1">
        <f t="shared" si="17"/>
        <v>3</v>
      </c>
      <c r="K141">
        <f t="shared" si="18"/>
        <v>165</v>
      </c>
      <c r="L141" s="14" t="str">
        <f t="shared" si="19"/>
        <v>D</v>
      </c>
    </row>
    <row r="142" spans="1:18" thickTop="1" thickBot="1">
      <c r="A142" s="16" t="s">
        <v>143</v>
      </c>
      <c r="B142">
        <v>78</v>
      </c>
      <c r="C142">
        <v>74</v>
      </c>
      <c r="D142">
        <v>78</v>
      </c>
      <c r="E142">
        <v>72</v>
      </c>
      <c r="F142">
        <v>80</v>
      </c>
      <c r="G142">
        <v>10</v>
      </c>
      <c r="H142">
        <v>0</v>
      </c>
      <c r="I142">
        <f t="shared" si="16"/>
        <v>76</v>
      </c>
      <c r="J142" s="1">
        <f t="shared" si="17"/>
        <v>76</v>
      </c>
      <c r="K142">
        <f t="shared" si="18"/>
        <v>95</v>
      </c>
      <c r="L142" s="14" t="str">
        <f t="shared" si="19"/>
        <v>A</v>
      </c>
      <c r="M142" t="s">
        <v>28</v>
      </c>
      <c r="N142" t="s">
        <v>24</v>
      </c>
      <c r="O142" t="s">
        <v>60</v>
      </c>
      <c r="P142" s="14">
        <v>6</v>
      </c>
      <c r="R142" t="s">
        <v>52</v>
      </c>
    </row>
    <row r="143" spans="1:18" thickTop="1" thickBot="1">
      <c r="A143" s="16" t="s">
        <v>176</v>
      </c>
      <c r="B143">
        <v>76</v>
      </c>
      <c r="C143">
        <v>78</v>
      </c>
      <c r="D143">
        <v>80</v>
      </c>
      <c r="E143">
        <v>77</v>
      </c>
      <c r="F143">
        <v>83</v>
      </c>
      <c r="G143">
        <v>9</v>
      </c>
      <c r="H143">
        <v>0</v>
      </c>
      <c r="I143">
        <f t="shared" si="16"/>
        <v>77.650000000000006</v>
      </c>
      <c r="J143" s="1">
        <f t="shared" si="17"/>
        <v>77.650000000000006</v>
      </c>
      <c r="K143">
        <f t="shared" si="18"/>
        <v>90</v>
      </c>
      <c r="L143" s="14" t="str">
        <f t="shared" si="19"/>
        <v>A</v>
      </c>
      <c r="M143" t="s">
        <v>28</v>
      </c>
      <c r="N143" t="s">
        <v>24</v>
      </c>
      <c r="O143" t="s">
        <v>35</v>
      </c>
      <c r="R143" t="s">
        <v>52</v>
      </c>
    </row>
    <row r="144" spans="1:18" thickTop="1" thickBot="1">
      <c r="A144" s="16" t="s">
        <v>144</v>
      </c>
      <c r="B144">
        <v>66</v>
      </c>
      <c r="C144">
        <v>75</v>
      </c>
      <c r="D144">
        <v>72</v>
      </c>
      <c r="E144">
        <v>78</v>
      </c>
      <c r="F144">
        <v>73</v>
      </c>
      <c r="G144">
        <v>6</v>
      </c>
      <c r="H144">
        <v>10</v>
      </c>
      <c r="I144">
        <f t="shared" si="16"/>
        <v>81.499999999999986</v>
      </c>
      <c r="J144" s="1">
        <f t="shared" si="17"/>
        <v>81.499999999999986</v>
      </c>
      <c r="K144">
        <f t="shared" si="18"/>
        <v>64</v>
      </c>
      <c r="L144" s="14" t="str">
        <f t="shared" si="19"/>
        <v>A+</v>
      </c>
      <c r="M144" t="s">
        <v>24</v>
      </c>
    </row>
    <row r="145" spans="1:18" ht="13.65" customHeight="1" thickTop="1" thickBot="1">
      <c r="A145" s="16" t="s">
        <v>201</v>
      </c>
      <c r="B145" s="2">
        <v>61</v>
      </c>
      <c r="C145" s="2">
        <v>50</v>
      </c>
      <c r="D145" s="2">
        <v>48</v>
      </c>
      <c r="E145" s="2">
        <v>43</v>
      </c>
      <c r="F145" s="2">
        <v>57</v>
      </c>
      <c r="G145" s="2">
        <v>3</v>
      </c>
      <c r="H145" s="2">
        <v>0</v>
      </c>
      <c r="I145">
        <f t="shared" si="16"/>
        <v>53.65</v>
      </c>
      <c r="J145" s="1">
        <f t="shared" si="17"/>
        <v>53.65</v>
      </c>
      <c r="K145">
        <f t="shared" si="18"/>
        <v>132</v>
      </c>
      <c r="L145" s="14" t="str">
        <f t="shared" si="19"/>
        <v>C</v>
      </c>
      <c r="M145" s="2" t="s">
        <v>60</v>
      </c>
      <c r="N145" s="2" t="s">
        <v>28</v>
      </c>
      <c r="O145" s="2" t="s">
        <v>21</v>
      </c>
      <c r="P145" s="15"/>
      <c r="Q145" s="15"/>
      <c r="R145" s="2" t="s">
        <v>52</v>
      </c>
    </row>
    <row r="146" spans="1:18" thickTop="1" thickBot="1">
      <c r="A146" s="16" t="s">
        <v>145</v>
      </c>
      <c r="B146">
        <v>45</v>
      </c>
      <c r="C146">
        <v>40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f t="shared" si="16"/>
        <v>28.5</v>
      </c>
      <c r="J146" s="1">
        <f t="shared" si="17"/>
        <v>28.5</v>
      </c>
      <c r="K146">
        <f t="shared" si="18"/>
        <v>164</v>
      </c>
      <c r="L146" s="14" t="str">
        <f t="shared" si="19"/>
        <v>D</v>
      </c>
    </row>
    <row r="147" spans="1:18" thickTop="1" thickBot="1">
      <c r="A147" s="16" t="s">
        <v>146</v>
      </c>
      <c r="B147">
        <v>62</v>
      </c>
      <c r="C147">
        <v>73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f t="shared" si="16"/>
        <v>43.5</v>
      </c>
      <c r="J147" s="1">
        <f t="shared" si="17"/>
        <v>43.5</v>
      </c>
      <c r="K147">
        <f t="shared" si="18"/>
        <v>145</v>
      </c>
      <c r="L147" s="14" t="str">
        <f t="shared" si="19"/>
        <v>D</v>
      </c>
    </row>
    <row r="148" spans="1:18" thickTop="1" thickBot="1">
      <c r="A148" s="16" t="s">
        <v>147</v>
      </c>
      <c r="B148">
        <v>49</v>
      </c>
      <c r="C148">
        <v>51</v>
      </c>
      <c r="D148">
        <v>0</v>
      </c>
      <c r="E148">
        <v>0</v>
      </c>
      <c r="F148">
        <v>0</v>
      </c>
      <c r="G148">
        <v>0</v>
      </c>
      <c r="H148">
        <v>0</v>
      </c>
      <c r="I148">
        <f t="shared" si="16"/>
        <v>33</v>
      </c>
      <c r="J148" s="1">
        <f t="shared" si="17"/>
        <v>33</v>
      </c>
      <c r="K148">
        <f t="shared" si="18"/>
        <v>160</v>
      </c>
      <c r="L148" s="14" t="str">
        <f t="shared" si="19"/>
        <v>D</v>
      </c>
    </row>
    <row r="149" spans="1:18" thickTop="1" thickBot="1">
      <c r="A149" s="16" t="s">
        <v>215</v>
      </c>
      <c r="B149" s="2">
        <v>0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>
        <f t="shared" si="16"/>
        <v>3</v>
      </c>
      <c r="J149" s="1">
        <f t="shared" si="17"/>
        <v>3</v>
      </c>
      <c r="K149">
        <f t="shared" si="18"/>
        <v>165</v>
      </c>
      <c r="L149" s="14" t="str">
        <f t="shared" si="19"/>
        <v>D</v>
      </c>
      <c r="R149" t="s">
        <v>242</v>
      </c>
    </row>
    <row r="150" spans="1:18" thickTop="1" thickBot="1">
      <c r="A150" s="16" t="s">
        <v>148</v>
      </c>
      <c r="B150">
        <v>86</v>
      </c>
      <c r="C150">
        <v>83</v>
      </c>
      <c r="D150">
        <v>87</v>
      </c>
      <c r="E150">
        <v>81</v>
      </c>
      <c r="F150">
        <v>84</v>
      </c>
      <c r="G150">
        <v>10</v>
      </c>
      <c r="H150">
        <v>1.25</v>
      </c>
      <c r="I150">
        <f t="shared" si="16"/>
        <v>85</v>
      </c>
      <c r="J150" s="1">
        <f t="shared" si="17"/>
        <v>85</v>
      </c>
      <c r="K150">
        <f t="shared" si="18"/>
        <v>37</v>
      </c>
      <c r="L150" s="14" t="str">
        <f t="shared" si="19"/>
        <v>S</v>
      </c>
      <c r="M150" t="s">
        <v>24</v>
      </c>
      <c r="N150" t="s">
        <v>35</v>
      </c>
      <c r="O150" t="s">
        <v>21</v>
      </c>
      <c r="P150" s="14">
        <v>1</v>
      </c>
      <c r="Q150" s="14" t="s">
        <v>183</v>
      </c>
      <c r="R150" t="s">
        <v>52</v>
      </c>
    </row>
    <row r="151" spans="1:18" thickTop="1" thickBot="1">
      <c r="A151" s="16" t="s">
        <v>149</v>
      </c>
      <c r="B151">
        <v>80</v>
      </c>
      <c r="C151">
        <v>81</v>
      </c>
      <c r="D151">
        <v>82</v>
      </c>
      <c r="E151">
        <v>80</v>
      </c>
      <c r="F151">
        <v>81</v>
      </c>
      <c r="G151">
        <v>9</v>
      </c>
      <c r="H151">
        <v>2</v>
      </c>
      <c r="I151">
        <f t="shared" si="16"/>
        <v>82.149999999999991</v>
      </c>
      <c r="J151" s="1">
        <f t="shared" si="17"/>
        <v>82.149999999999991</v>
      </c>
      <c r="K151">
        <f t="shared" si="18"/>
        <v>57</v>
      </c>
      <c r="L151" s="14" t="str">
        <f t="shared" si="19"/>
        <v>A+</v>
      </c>
      <c r="M151" t="s">
        <v>153</v>
      </c>
      <c r="N151" t="s">
        <v>40</v>
      </c>
      <c r="O151" t="s">
        <v>20</v>
      </c>
      <c r="R151" t="s">
        <v>52</v>
      </c>
    </row>
    <row r="152" spans="1:18" thickTop="1" thickBot="1">
      <c r="A152" s="16" t="s">
        <v>203</v>
      </c>
      <c r="B152">
        <v>80</v>
      </c>
      <c r="C152">
        <v>77</v>
      </c>
      <c r="D152">
        <v>81</v>
      </c>
      <c r="E152">
        <v>83</v>
      </c>
      <c r="F152">
        <v>80</v>
      </c>
      <c r="G152">
        <v>10</v>
      </c>
      <c r="H152">
        <v>1</v>
      </c>
      <c r="I152">
        <f t="shared" si="16"/>
        <v>80.05</v>
      </c>
      <c r="J152" s="1">
        <f t="shared" si="17"/>
        <v>80.05</v>
      </c>
      <c r="K152">
        <f t="shared" si="18"/>
        <v>75</v>
      </c>
      <c r="L152" s="14" t="str">
        <f t="shared" si="19"/>
        <v>A+</v>
      </c>
      <c r="M152" t="s">
        <v>28</v>
      </c>
      <c r="N152" t="s">
        <v>35</v>
      </c>
      <c r="O152" t="s">
        <v>60</v>
      </c>
      <c r="P152" s="14">
        <v>4</v>
      </c>
      <c r="Q152" s="14" t="s">
        <v>183</v>
      </c>
      <c r="R152" s="2" t="s">
        <v>52</v>
      </c>
    </row>
    <row r="153" spans="1:18" thickTop="1" thickBot="1">
      <c r="A153" s="16" t="s">
        <v>150</v>
      </c>
      <c r="B153">
        <v>82</v>
      </c>
      <c r="C153">
        <v>66</v>
      </c>
      <c r="D153">
        <v>0</v>
      </c>
      <c r="E153">
        <v>0</v>
      </c>
      <c r="F153">
        <v>0</v>
      </c>
      <c r="G153">
        <v>0</v>
      </c>
      <c r="H153">
        <v>0</v>
      </c>
      <c r="I153">
        <f t="shared" si="16"/>
        <v>47.4</v>
      </c>
      <c r="J153" s="1">
        <f t="shared" si="17"/>
        <v>47.4</v>
      </c>
      <c r="K153">
        <f t="shared" si="18"/>
        <v>142</v>
      </c>
      <c r="L153" s="14" t="str">
        <f t="shared" si="19"/>
        <v>D</v>
      </c>
    </row>
    <row r="154" spans="1:18" thickTop="1" thickBot="1">
      <c r="A154" s="16" t="s">
        <v>211</v>
      </c>
      <c r="B154">
        <v>88</v>
      </c>
      <c r="C154">
        <v>91</v>
      </c>
      <c r="D154">
        <v>85</v>
      </c>
      <c r="E154">
        <v>89</v>
      </c>
      <c r="F154">
        <v>88</v>
      </c>
      <c r="G154">
        <v>8</v>
      </c>
      <c r="H154">
        <v>0</v>
      </c>
      <c r="I154">
        <f t="shared" si="16"/>
        <v>87.550000000000011</v>
      </c>
      <c r="J154" s="1">
        <f t="shared" si="17"/>
        <v>87.550000000000011</v>
      </c>
      <c r="K154">
        <f t="shared" si="18"/>
        <v>21</v>
      </c>
      <c r="L154" s="14" t="str">
        <f t="shared" si="19"/>
        <v>S</v>
      </c>
      <c r="M154" t="s">
        <v>21</v>
      </c>
      <c r="N154" t="s">
        <v>182</v>
      </c>
      <c r="O154" t="s">
        <v>35</v>
      </c>
      <c r="R154" t="s">
        <v>52</v>
      </c>
    </row>
    <row r="155" spans="1:18" thickTop="1" thickBot="1">
      <c r="A155" s="16" t="s">
        <v>205</v>
      </c>
      <c r="B155" s="2">
        <v>81</v>
      </c>
      <c r="C155" s="2">
        <v>83</v>
      </c>
      <c r="D155" s="2">
        <v>79</v>
      </c>
      <c r="E155" s="2">
        <v>83</v>
      </c>
      <c r="F155" s="2">
        <v>81</v>
      </c>
      <c r="G155" s="2">
        <v>6</v>
      </c>
      <c r="H155" s="2">
        <v>0</v>
      </c>
      <c r="I155">
        <f t="shared" si="16"/>
        <v>80.75</v>
      </c>
      <c r="J155" s="1">
        <f t="shared" si="17"/>
        <v>80.75</v>
      </c>
      <c r="K155">
        <f t="shared" si="18"/>
        <v>70</v>
      </c>
      <c r="L155" s="14" t="str">
        <f t="shared" si="19"/>
        <v>A+</v>
      </c>
      <c r="M155" t="s">
        <v>21</v>
      </c>
      <c r="N155" t="s">
        <v>35</v>
      </c>
      <c r="O155" t="s">
        <v>19</v>
      </c>
      <c r="R155" s="2" t="s">
        <v>52</v>
      </c>
    </row>
    <row r="156" spans="1:18" thickTop="1" thickBot="1">
      <c r="A156" s="16" t="s">
        <v>151</v>
      </c>
      <c r="B156">
        <v>92</v>
      </c>
      <c r="C156">
        <v>88</v>
      </c>
      <c r="D156">
        <v>84</v>
      </c>
      <c r="E156">
        <v>85</v>
      </c>
      <c r="F156">
        <v>85</v>
      </c>
      <c r="G156">
        <v>10</v>
      </c>
      <c r="H156">
        <v>0</v>
      </c>
      <c r="I156">
        <f t="shared" si="16"/>
        <v>87.1</v>
      </c>
      <c r="J156" s="1">
        <f t="shared" si="17"/>
        <v>87.1</v>
      </c>
      <c r="K156">
        <f t="shared" si="18"/>
        <v>23</v>
      </c>
      <c r="L156" s="14" t="str">
        <f t="shared" si="19"/>
        <v>S</v>
      </c>
      <c r="M156" t="s">
        <v>178</v>
      </c>
      <c r="N156" t="s">
        <v>22</v>
      </c>
      <c r="O156" t="s">
        <v>33</v>
      </c>
      <c r="R156" s="2" t="s">
        <v>52</v>
      </c>
    </row>
    <row r="157" spans="1:18" thickTop="1" thickBot="1">
      <c r="A157" s="16" t="s">
        <v>152</v>
      </c>
      <c r="B157">
        <v>84</v>
      </c>
      <c r="C157">
        <v>87</v>
      </c>
      <c r="D157">
        <v>83</v>
      </c>
      <c r="E157">
        <v>87</v>
      </c>
      <c r="F157">
        <v>85</v>
      </c>
      <c r="G157">
        <v>8</v>
      </c>
      <c r="H157">
        <v>1</v>
      </c>
      <c r="I157">
        <f t="shared" si="16"/>
        <v>85.350000000000009</v>
      </c>
      <c r="J157" s="1">
        <f t="shared" si="17"/>
        <v>85.350000000000009</v>
      </c>
      <c r="K157">
        <f t="shared" si="18"/>
        <v>33</v>
      </c>
      <c r="L157" s="14" t="str">
        <f t="shared" si="19"/>
        <v>S</v>
      </c>
      <c r="M157" t="s">
        <v>33</v>
      </c>
      <c r="N157" t="s">
        <v>21</v>
      </c>
      <c r="O157" t="s">
        <v>153</v>
      </c>
      <c r="R157" t="s">
        <v>52</v>
      </c>
    </row>
    <row r="158" spans="1:18" thickTop="1" thickBot="1">
      <c r="A158" s="16" t="s">
        <v>199</v>
      </c>
      <c r="B158" s="2">
        <v>0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>
        <f t="shared" si="16"/>
        <v>3</v>
      </c>
      <c r="J158" s="1">
        <f t="shared" si="17"/>
        <v>3</v>
      </c>
      <c r="K158">
        <f t="shared" si="18"/>
        <v>165</v>
      </c>
      <c r="L158" s="14" t="str">
        <f t="shared" si="19"/>
        <v>D</v>
      </c>
      <c r="M158" s="2"/>
      <c r="N158" s="2"/>
      <c r="O158" s="2"/>
      <c r="P158" s="15"/>
      <c r="Q158" s="15"/>
      <c r="R158" s="2"/>
    </row>
    <row r="159" spans="1:18" thickTop="1" thickBot="1">
      <c r="A159" s="16" t="s">
        <v>204</v>
      </c>
      <c r="B159" s="2">
        <v>0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>
        <f t="shared" si="16"/>
        <v>3</v>
      </c>
      <c r="J159" s="1">
        <f t="shared" si="17"/>
        <v>3</v>
      </c>
      <c r="K159">
        <f t="shared" si="18"/>
        <v>165</v>
      </c>
      <c r="L159" s="14" t="str">
        <f t="shared" si="19"/>
        <v>D</v>
      </c>
    </row>
    <row r="160" spans="1:18" thickTop="1" thickBot="1">
      <c r="A160" s="16" t="s">
        <v>219</v>
      </c>
      <c r="B160" s="2">
        <v>85</v>
      </c>
      <c r="C160" s="2">
        <v>85</v>
      </c>
      <c r="D160" s="2">
        <v>80</v>
      </c>
      <c r="E160" s="2">
        <v>81</v>
      </c>
      <c r="F160" s="2">
        <v>84</v>
      </c>
      <c r="G160" s="2">
        <v>8</v>
      </c>
      <c r="H160" s="2">
        <v>0</v>
      </c>
      <c r="I160">
        <f t="shared" si="16"/>
        <v>82.9</v>
      </c>
      <c r="J160" s="1">
        <f t="shared" si="17"/>
        <v>82.9</v>
      </c>
      <c r="K160">
        <f t="shared" si="18"/>
        <v>51</v>
      </c>
      <c r="L160" s="14" t="str">
        <f t="shared" si="19"/>
        <v>A+</v>
      </c>
      <c r="M160" t="s">
        <v>35</v>
      </c>
      <c r="N160" t="s">
        <v>28</v>
      </c>
      <c r="O160" t="s">
        <v>60</v>
      </c>
      <c r="R160" t="s">
        <v>52</v>
      </c>
    </row>
    <row r="161" spans="1:18" s="2" customFormat="1" thickTop="1" thickBot="1">
      <c r="A161" s="16" t="s">
        <v>154</v>
      </c>
      <c r="B161">
        <v>48</v>
      </c>
      <c r="C161">
        <v>81</v>
      </c>
      <c r="D161">
        <v>0</v>
      </c>
      <c r="E161">
        <v>0</v>
      </c>
      <c r="F161">
        <v>0</v>
      </c>
      <c r="G161">
        <v>0</v>
      </c>
      <c r="H161">
        <v>0</v>
      </c>
      <c r="I161">
        <f t="shared" si="16"/>
        <v>41.7</v>
      </c>
      <c r="J161" s="1">
        <f t="shared" si="17"/>
        <v>41.7</v>
      </c>
      <c r="K161">
        <f t="shared" si="18"/>
        <v>152</v>
      </c>
      <c r="L161" s="14" t="str">
        <f t="shared" si="19"/>
        <v>D</v>
      </c>
      <c r="M161"/>
      <c r="N161"/>
      <c r="O161"/>
      <c r="P161" s="14"/>
      <c r="Q161" s="14"/>
      <c r="R161"/>
    </row>
    <row r="162" spans="1:18" s="2" customFormat="1" thickTop="1" thickBot="1">
      <c r="A162" s="16" t="s">
        <v>155</v>
      </c>
      <c r="B162">
        <v>80</v>
      </c>
      <c r="C162">
        <v>74</v>
      </c>
      <c r="D162">
        <v>71</v>
      </c>
      <c r="E162">
        <v>82</v>
      </c>
      <c r="F162">
        <v>69</v>
      </c>
      <c r="G162">
        <v>4</v>
      </c>
      <c r="H162">
        <v>0</v>
      </c>
      <c r="I162">
        <f t="shared" ref="I162:I181" si="20">(AVERAGE(B162*0.3,C162*0.3,D162*0.15,E162*0.1,F162*0.1,G162*0.05)*6)+3+H162</f>
        <v>75.150000000000006</v>
      </c>
      <c r="J162" s="1">
        <f t="shared" ref="J162:J181" si="21">(AVERAGE(B162*0.3,C162*0.3,D162*0.15,E162*0.1,F162*0.1,G162*0.05)*6)+3+H162</f>
        <v>75.150000000000006</v>
      </c>
      <c r="K162">
        <f t="shared" ref="K162:K181" si="22">IF(I162&lt;&gt;"", RANK(I162, I:I, 0), "")</f>
        <v>99</v>
      </c>
      <c r="L162" s="14" t="str">
        <f t="shared" ref="L162:L181" si="23">IF(I162&gt;=89.5,"S+",IF(I162&gt;=84.5,"S",IF(I162&gt;=79.5,"A+",IF(I162&gt;=69.5,"A",IF(I162&gt;=59.5,"B",IF(I162&gt;=49.5,"C","D"))))))</f>
        <v>A</v>
      </c>
      <c r="M162"/>
      <c r="N162"/>
      <c r="O162"/>
      <c r="P162" s="14"/>
      <c r="Q162" s="14"/>
      <c r="R162" t="s">
        <v>52</v>
      </c>
    </row>
    <row r="163" spans="1:18" thickTop="1" thickBot="1">
      <c r="A163" s="16" t="s">
        <v>156</v>
      </c>
      <c r="B163">
        <v>89</v>
      </c>
      <c r="C163">
        <v>85</v>
      </c>
      <c r="D163">
        <v>87</v>
      </c>
      <c r="E163">
        <v>87</v>
      </c>
      <c r="F163">
        <v>89</v>
      </c>
      <c r="G163">
        <v>10</v>
      </c>
      <c r="H163">
        <v>0</v>
      </c>
      <c r="I163">
        <f t="shared" si="20"/>
        <v>86.350000000000009</v>
      </c>
      <c r="J163" s="1">
        <f t="shared" si="21"/>
        <v>86.350000000000009</v>
      </c>
      <c r="K163">
        <f t="shared" si="22"/>
        <v>29</v>
      </c>
      <c r="L163" s="14" t="str">
        <f t="shared" si="23"/>
        <v>S</v>
      </c>
      <c r="M163" t="s">
        <v>22</v>
      </c>
      <c r="N163" t="s">
        <v>35</v>
      </c>
      <c r="O163" t="s">
        <v>21</v>
      </c>
      <c r="R163" s="2" t="s">
        <v>52</v>
      </c>
    </row>
    <row r="164" spans="1:18" s="2" customFormat="1" thickTop="1" thickBot="1">
      <c r="A164" s="16" t="s">
        <v>186</v>
      </c>
      <c r="B164">
        <v>82</v>
      </c>
      <c r="C164">
        <v>96</v>
      </c>
      <c r="D164">
        <v>85</v>
      </c>
      <c r="E164">
        <v>94</v>
      </c>
      <c r="F164">
        <v>90</v>
      </c>
      <c r="G164">
        <v>7</v>
      </c>
      <c r="H164">
        <v>0</v>
      </c>
      <c r="I164">
        <f t="shared" si="20"/>
        <v>87.899999999999991</v>
      </c>
      <c r="J164" s="1">
        <f t="shared" si="21"/>
        <v>87.899999999999991</v>
      </c>
      <c r="K164">
        <f t="shared" si="22"/>
        <v>20</v>
      </c>
      <c r="L164" s="14" t="str">
        <f t="shared" si="23"/>
        <v>S</v>
      </c>
      <c r="M164" t="s">
        <v>184</v>
      </c>
      <c r="N164" t="s">
        <v>24</v>
      </c>
      <c r="O164" t="s">
        <v>35</v>
      </c>
      <c r="P164" s="14"/>
      <c r="Q164" s="14"/>
      <c r="R164" t="s">
        <v>52</v>
      </c>
    </row>
    <row r="165" spans="1:18" s="2" customFormat="1" thickTop="1" thickBot="1">
      <c r="A165" s="16" t="s">
        <v>157</v>
      </c>
      <c r="B165">
        <v>82</v>
      </c>
      <c r="C165">
        <v>82</v>
      </c>
      <c r="D165">
        <v>81</v>
      </c>
      <c r="E165">
        <v>83</v>
      </c>
      <c r="F165">
        <v>83</v>
      </c>
      <c r="G165">
        <v>7</v>
      </c>
      <c r="H165">
        <v>4</v>
      </c>
      <c r="I165">
        <f t="shared" si="20"/>
        <v>85.299999999999983</v>
      </c>
      <c r="J165" s="1">
        <f t="shared" si="21"/>
        <v>85.299999999999983</v>
      </c>
      <c r="K165">
        <f t="shared" si="22"/>
        <v>34</v>
      </c>
      <c r="L165" s="14" t="str">
        <f t="shared" si="23"/>
        <v>S</v>
      </c>
      <c r="M165"/>
      <c r="N165"/>
      <c r="O165"/>
      <c r="P165" s="14"/>
      <c r="Q165" s="14"/>
      <c r="R165"/>
    </row>
    <row r="166" spans="1:18" thickTop="1" thickBot="1">
      <c r="A166" s="16" t="s">
        <v>158</v>
      </c>
      <c r="B166">
        <v>75</v>
      </c>
      <c r="C166">
        <v>73</v>
      </c>
      <c r="D166">
        <v>78</v>
      </c>
      <c r="E166">
        <v>72</v>
      </c>
      <c r="F166">
        <v>76</v>
      </c>
      <c r="G166">
        <v>10</v>
      </c>
      <c r="H166">
        <v>0</v>
      </c>
      <c r="I166">
        <f t="shared" si="20"/>
        <v>74.399999999999991</v>
      </c>
      <c r="J166" s="1">
        <f t="shared" si="21"/>
        <v>74.399999999999991</v>
      </c>
      <c r="K166">
        <f t="shared" si="22"/>
        <v>101</v>
      </c>
      <c r="L166" s="14" t="str">
        <f t="shared" si="23"/>
        <v>A</v>
      </c>
      <c r="M166" t="s">
        <v>28</v>
      </c>
      <c r="N166" t="s">
        <v>70</v>
      </c>
      <c r="O166" t="s">
        <v>67</v>
      </c>
      <c r="P166" s="14">
        <v>3</v>
      </c>
      <c r="Q166" s="14" t="s">
        <v>183</v>
      </c>
      <c r="R166" t="s">
        <v>52</v>
      </c>
    </row>
    <row r="167" spans="1:18" thickTop="1" thickBot="1">
      <c r="A167" s="16" t="s">
        <v>159</v>
      </c>
      <c r="B167">
        <v>54</v>
      </c>
      <c r="C167">
        <v>52</v>
      </c>
      <c r="D167">
        <v>64</v>
      </c>
      <c r="E167">
        <v>40</v>
      </c>
      <c r="F167">
        <v>66</v>
      </c>
      <c r="G167">
        <v>2</v>
      </c>
      <c r="H167">
        <v>0</v>
      </c>
      <c r="I167">
        <f t="shared" si="20"/>
        <v>55.1</v>
      </c>
      <c r="J167" s="1">
        <f t="shared" si="21"/>
        <v>55.1</v>
      </c>
      <c r="K167">
        <f t="shared" si="22"/>
        <v>130</v>
      </c>
      <c r="L167" s="14" t="str">
        <f t="shared" si="23"/>
        <v>C</v>
      </c>
    </row>
    <row r="168" spans="1:18" thickTop="1" thickBot="1">
      <c r="A168" s="16" t="s">
        <v>160</v>
      </c>
      <c r="B168">
        <v>78</v>
      </c>
      <c r="C168">
        <v>77</v>
      </c>
      <c r="D168">
        <v>78</v>
      </c>
      <c r="E168">
        <v>73</v>
      </c>
      <c r="F168">
        <v>83</v>
      </c>
      <c r="G168">
        <v>6</v>
      </c>
      <c r="H168">
        <v>2</v>
      </c>
      <c r="I168">
        <f t="shared" si="20"/>
        <v>79.099999999999994</v>
      </c>
      <c r="J168" s="1">
        <f t="shared" si="21"/>
        <v>79.099999999999994</v>
      </c>
      <c r="K168">
        <f t="shared" si="22"/>
        <v>81</v>
      </c>
      <c r="L168" s="14" t="str">
        <f t="shared" si="23"/>
        <v>A</v>
      </c>
      <c r="M168" t="s">
        <v>20</v>
      </c>
      <c r="N168" t="s">
        <v>28</v>
      </c>
      <c r="O168" t="s">
        <v>60</v>
      </c>
    </row>
    <row r="169" spans="1:18" thickTop="1" thickBot="1">
      <c r="A169" s="16" t="s">
        <v>161</v>
      </c>
      <c r="B169">
        <v>90</v>
      </c>
      <c r="C169">
        <v>86</v>
      </c>
      <c r="D169">
        <v>87</v>
      </c>
      <c r="E169">
        <v>86</v>
      </c>
      <c r="F169">
        <v>86</v>
      </c>
      <c r="G169">
        <v>8</v>
      </c>
      <c r="H169">
        <v>0</v>
      </c>
      <c r="I169">
        <f t="shared" si="20"/>
        <v>86.449999999999989</v>
      </c>
      <c r="J169" s="1">
        <f t="shared" si="21"/>
        <v>86.449999999999989</v>
      </c>
      <c r="K169">
        <f t="shared" si="22"/>
        <v>28</v>
      </c>
      <c r="L169" s="14" t="str">
        <f t="shared" si="23"/>
        <v>S</v>
      </c>
      <c r="M169" t="s">
        <v>19</v>
      </c>
      <c r="N169" t="s">
        <v>21</v>
      </c>
      <c r="O169" t="s">
        <v>35</v>
      </c>
    </row>
    <row r="170" spans="1:18" thickTop="1" thickBot="1">
      <c r="A170" s="16" t="s">
        <v>162</v>
      </c>
      <c r="B170">
        <v>80</v>
      </c>
      <c r="C170">
        <v>78</v>
      </c>
      <c r="D170">
        <v>83</v>
      </c>
      <c r="E170">
        <v>77</v>
      </c>
      <c r="F170">
        <v>81</v>
      </c>
      <c r="G170">
        <v>8</v>
      </c>
      <c r="H170">
        <v>0</v>
      </c>
      <c r="I170">
        <f t="shared" si="20"/>
        <v>79.05</v>
      </c>
      <c r="J170" s="1">
        <f t="shared" si="21"/>
        <v>79.05</v>
      </c>
      <c r="K170">
        <f t="shared" si="22"/>
        <v>82</v>
      </c>
      <c r="L170" s="14" t="str">
        <f t="shared" si="23"/>
        <v>A</v>
      </c>
    </row>
    <row r="171" spans="1:18" thickTop="1" thickBot="1">
      <c r="A171" s="16" t="s">
        <v>163</v>
      </c>
      <c r="B171">
        <v>76</v>
      </c>
      <c r="C171">
        <v>79</v>
      </c>
      <c r="D171">
        <v>78</v>
      </c>
      <c r="E171">
        <v>73</v>
      </c>
      <c r="F171">
        <v>80</v>
      </c>
      <c r="G171">
        <v>2</v>
      </c>
      <c r="H171">
        <v>0</v>
      </c>
      <c r="I171">
        <f t="shared" si="20"/>
        <v>76.599999999999994</v>
      </c>
      <c r="J171" s="1">
        <f t="shared" si="21"/>
        <v>76.599999999999994</v>
      </c>
      <c r="K171">
        <f t="shared" si="22"/>
        <v>93</v>
      </c>
      <c r="L171" s="14" t="str">
        <f t="shared" si="23"/>
        <v>A</v>
      </c>
      <c r="M171" t="s">
        <v>19</v>
      </c>
      <c r="N171" t="s">
        <v>153</v>
      </c>
      <c r="O171" t="s">
        <v>40</v>
      </c>
      <c r="R171" t="s">
        <v>52</v>
      </c>
    </row>
    <row r="172" spans="1:18" thickTop="1" thickBot="1">
      <c r="A172" s="16" t="s">
        <v>164</v>
      </c>
      <c r="B172">
        <v>98</v>
      </c>
      <c r="C172">
        <v>94</v>
      </c>
      <c r="D172">
        <v>96</v>
      </c>
      <c r="E172">
        <v>93</v>
      </c>
      <c r="F172">
        <v>95</v>
      </c>
      <c r="G172">
        <v>10</v>
      </c>
      <c r="H172">
        <v>1</v>
      </c>
      <c r="I172">
        <f t="shared" si="20"/>
        <v>95.3</v>
      </c>
      <c r="J172" s="1">
        <f t="shared" si="21"/>
        <v>95.3</v>
      </c>
      <c r="K172">
        <f t="shared" si="22"/>
        <v>4</v>
      </c>
      <c r="L172" s="14" t="str">
        <f t="shared" si="23"/>
        <v>S+</v>
      </c>
      <c r="M172" t="s">
        <v>178</v>
      </c>
      <c r="N172" t="s">
        <v>179</v>
      </c>
      <c r="O172" t="s">
        <v>180</v>
      </c>
      <c r="R172" s="2" t="s">
        <v>52</v>
      </c>
    </row>
    <row r="173" spans="1:18" thickTop="1" thickBot="1">
      <c r="A173" s="16" t="s">
        <v>165</v>
      </c>
      <c r="B173">
        <v>72</v>
      </c>
      <c r="C173">
        <v>79</v>
      </c>
      <c r="D173">
        <v>81</v>
      </c>
      <c r="E173">
        <v>82</v>
      </c>
      <c r="F173">
        <v>82</v>
      </c>
      <c r="G173">
        <v>4</v>
      </c>
      <c r="H173">
        <v>0</v>
      </c>
      <c r="I173">
        <f t="shared" si="20"/>
        <v>77.05</v>
      </c>
      <c r="J173" s="1">
        <f t="shared" si="21"/>
        <v>77.05</v>
      </c>
      <c r="K173">
        <f t="shared" si="22"/>
        <v>92</v>
      </c>
      <c r="L173" s="14" t="str">
        <f t="shared" si="23"/>
        <v>A</v>
      </c>
    </row>
    <row r="174" spans="1:18" thickTop="1" thickBot="1">
      <c r="A174" s="16" t="s">
        <v>172</v>
      </c>
      <c r="B174">
        <v>76</v>
      </c>
      <c r="C174">
        <v>81</v>
      </c>
      <c r="D174">
        <v>78</v>
      </c>
      <c r="E174">
        <v>82</v>
      </c>
      <c r="F174">
        <v>82</v>
      </c>
      <c r="G174">
        <v>7</v>
      </c>
      <c r="H174">
        <v>1</v>
      </c>
      <c r="I174">
        <f t="shared" si="20"/>
        <v>79.55</v>
      </c>
      <c r="J174" s="1">
        <f t="shared" si="21"/>
        <v>79.55</v>
      </c>
      <c r="K174">
        <f t="shared" si="22"/>
        <v>78</v>
      </c>
      <c r="L174" s="14" t="str">
        <f t="shared" si="23"/>
        <v>A+</v>
      </c>
      <c r="M174" t="s">
        <v>21</v>
      </c>
      <c r="N174" t="s">
        <v>19</v>
      </c>
      <c r="O174" t="s">
        <v>33</v>
      </c>
      <c r="R174" t="s">
        <v>52</v>
      </c>
    </row>
    <row r="175" spans="1:18" thickTop="1" thickBot="1">
      <c r="A175" s="16" t="s">
        <v>166</v>
      </c>
      <c r="B175">
        <v>80</v>
      </c>
      <c r="C175">
        <v>87</v>
      </c>
      <c r="D175">
        <v>78</v>
      </c>
      <c r="E175">
        <v>89</v>
      </c>
      <c r="F175">
        <v>82</v>
      </c>
      <c r="G175">
        <v>10</v>
      </c>
      <c r="H175">
        <v>2.1</v>
      </c>
      <c r="I175">
        <f t="shared" si="20"/>
        <v>84.5</v>
      </c>
      <c r="J175" s="1">
        <f t="shared" si="21"/>
        <v>84.5</v>
      </c>
      <c r="K175">
        <f t="shared" si="22"/>
        <v>40</v>
      </c>
      <c r="L175" s="14" t="str">
        <f t="shared" si="23"/>
        <v>S</v>
      </c>
      <c r="M175" t="s">
        <v>21</v>
      </c>
      <c r="N175" t="s">
        <v>19</v>
      </c>
      <c r="O175" t="s">
        <v>33</v>
      </c>
      <c r="R175" s="2" t="s">
        <v>52</v>
      </c>
    </row>
    <row r="176" spans="1:18" thickTop="1" thickBot="1">
      <c r="A176" s="16" t="s">
        <v>167</v>
      </c>
      <c r="B176">
        <v>83</v>
      </c>
      <c r="C176">
        <v>86</v>
      </c>
      <c r="D176">
        <v>86</v>
      </c>
      <c r="E176">
        <v>83</v>
      </c>
      <c r="F176">
        <v>85</v>
      </c>
      <c r="G176">
        <v>7</v>
      </c>
      <c r="H176">
        <v>0</v>
      </c>
      <c r="I176">
        <f t="shared" si="20"/>
        <v>83.75</v>
      </c>
      <c r="J176" s="1">
        <f t="shared" si="21"/>
        <v>83.75</v>
      </c>
      <c r="K176">
        <f t="shared" si="22"/>
        <v>44</v>
      </c>
      <c r="L176" s="14" t="str">
        <f t="shared" si="23"/>
        <v>A+</v>
      </c>
      <c r="M176" t="s">
        <v>35</v>
      </c>
      <c r="N176" t="s">
        <v>28</v>
      </c>
      <c r="O176" t="s">
        <v>24</v>
      </c>
      <c r="R176" s="2" t="s">
        <v>52</v>
      </c>
    </row>
    <row r="177" spans="1:18" thickTop="1" thickBot="1">
      <c r="A177" s="16" t="s">
        <v>168</v>
      </c>
      <c r="B177">
        <v>95</v>
      </c>
      <c r="C177">
        <v>98</v>
      </c>
      <c r="D177">
        <v>95</v>
      </c>
      <c r="E177">
        <v>97</v>
      </c>
      <c r="F177">
        <v>97</v>
      </c>
      <c r="G177">
        <v>10</v>
      </c>
      <c r="H177">
        <v>1</v>
      </c>
      <c r="I177">
        <f t="shared" si="20"/>
        <v>96.050000000000011</v>
      </c>
      <c r="J177" s="1">
        <f t="shared" si="21"/>
        <v>96.050000000000011</v>
      </c>
      <c r="K177">
        <f t="shared" si="22"/>
        <v>1</v>
      </c>
      <c r="L177" s="14" t="str">
        <f t="shared" si="23"/>
        <v>S+</v>
      </c>
      <c r="M177" t="s">
        <v>181</v>
      </c>
      <c r="N177" t="s">
        <v>179</v>
      </c>
      <c r="O177" t="s">
        <v>182</v>
      </c>
    </row>
    <row r="178" spans="1:18" thickTop="1" thickBot="1">
      <c r="A178" s="16" t="s">
        <v>169</v>
      </c>
      <c r="B178">
        <v>87</v>
      </c>
      <c r="C178">
        <v>88</v>
      </c>
      <c r="D178">
        <v>87</v>
      </c>
      <c r="E178">
        <v>91</v>
      </c>
      <c r="F178">
        <v>89</v>
      </c>
      <c r="G178">
        <v>10</v>
      </c>
      <c r="H178">
        <v>0</v>
      </c>
      <c r="I178">
        <f t="shared" si="20"/>
        <v>87.05</v>
      </c>
      <c r="J178" s="1">
        <f t="shared" si="21"/>
        <v>87.05</v>
      </c>
      <c r="K178">
        <f t="shared" si="22"/>
        <v>24</v>
      </c>
      <c r="L178" s="14" t="str">
        <f t="shared" si="23"/>
        <v>S</v>
      </c>
      <c r="M178" t="s">
        <v>21</v>
      </c>
      <c r="N178" t="s">
        <v>22</v>
      </c>
      <c r="O178" t="s">
        <v>118</v>
      </c>
    </row>
    <row r="179" spans="1:18" thickTop="1" thickBot="1">
      <c r="A179" s="16" t="s">
        <v>170</v>
      </c>
      <c r="B179">
        <v>93</v>
      </c>
      <c r="C179">
        <v>92</v>
      </c>
      <c r="D179">
        <v>89</v>
      </c>
      <c r="E179">
        <v>93</v>
      </c>
      <c r="F179">
        <v>92</v>
      </c>
      <c r="G179">
        <v>10</v>
      </c>
      <c r="H179">
        <v>1</v>
      </c>
      <c r="I179">
        <f t="shared" si="20"/>
        <v>91.85</v>
      </c>
      <c r="J179" s="1">
        <f t="shared" si="21"/>
        <v>91.85</v>
      </c>
      <c r="K179">
        <f t="shared" si="22"/>
        <v>9</v>
      </c>
      <c r="L179" s="14" t="str">
        <f t="shared" si="23"/>
        <v>S+</v>
      </c>
      <c r="M179" t="s">
        <v>21</v>
      </c>
      <c r="N179" t="s">
        <v>179</v>
      </c>
      <c r="O179" t="s">
        <v>35</v>
      </c>
    </row>
    <row r="180" spans="1:18" thickTop="1" thickBot="1">
      <c r="A180" s="16" t="s">
        <v>171</v>
      </c>
      <c r="B180">
        <v>73</v>
      </c>
      <c r="C180">
        <v>77</v>
      </c>
      <c r="D180">
        <v>0</v>
      </c>
      <c r="E180">
        <v>0</v>
      </c>
      <c r="F180">
        <v>0</v>
      </c>
      <c r="G180">
        <v>0</v>
      </c>
      <c r="H180">
        <v>0</v>
      </c>
      <c r="I180">
        <f t="shared" si="20"/>
        <v>48</v>
      </c>
      <c r="J180" s="1">
        <f t="shared" si="21"/>
        <v>48</v>
      </c>
      <c r="K180">
        <f t="shared" si="22"/>
        <v>141</v>
      </c>
      <c r="L180" s="14" t="str">
        <f t="shared" si="23"/>
        <v>D</v>
      </c>
    </row>
    <row r="181" spans="1:18" ht="14.4" customHeight="1" thickTop="1" thickBot="1">
      <c r="A181" s="16" t="s">
        <v>175</v>
      </c>
      <c r="B181">
        <v>71</v>
      </c>
      <c r="C181">
        <v>66</v>
      </c>
      <c r="D181">
        <v>62</v>
      </c>
      <c r="E181">
        <v>70</v>
      </c>
      <c r="F181">
        <v>72</v>
      </c>
      <c r="G181">
        <v>5</v>
      </c>
      <c r="H181">
        <v>0</v>
      </c>
      <c r="I181">
        <f t="shared" si="20"/>
        <v>67.849999999999994</v>
      </c>
      <c r="J181" s="1">
        <f t="shared" si="21"/>
        <v>67.849999999999994</v>
      </c>
      <c r="K181">
        <f t="shared" si="22"/>
        <v>116</v>
      </c>
      <c r="L181" s="14" t="str">
        <f t="shared" si="23"/>
        <v>B</v>
      </c>
      <c r="M181" t="s">
        <v>20</v>
      </c>
      <c r="N181" t="s">
        <v>19</v>
      </c>
      <c r="O181" t="s">
        <v>153</v>
      </c>
      <c r="R181" t="s">
        <v>52</v>
      </c>
    </row>
    <row r="182" spans="1:18" thickTop="1" thickBot="1">
      <c r="A182" s="16" t="s">
        <v>222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f t="shared" ref="I182:I189" si="24">(AVERAGE(B182*0.3,C182*0.3,D182*0.15,E182*0.1,F182*0.1,G182*0.05)*6)+3+H182</f>
        <v>3</v>
      </c>
      <c r="J182" s="1">
        <f t="shared" ref="J182:J189" si="25">CEILING(I182,1)</f>
        <v>3</v>
      </c>
      <c r="K182">
        <f t="shared" ref="K182:K189" si="26">IF(I182&lt;&gt;"", RANK(I182, I:I, 0), "")</f>
        <v>165</v>
      </c>
      <c r="L182" s="14" t="str">
        <f t="shared" ref="L182:L189" si="27">IF(I182&gt;=89.5,"S+",IF(I182&gt;=84.5,"S",IF(I182&gt;=79.5,"A+",IF(I182&gt;=69.5,"A",IF(I182&gt;=59.5,"B",IF(I182&gt;=49.5,"C","D"))))))</f>
        <v>D</v>
      </c>
      <c r="R182" t="s">
        <v>242</v>
      </c>
    </row>
    <row r="183" spans="1:18" thickTop="1" thickBot="1">
      <c r="A183" s="16" t="s">
        <v>223</v>
      </c>
      <c r="B183">
        <v>48</v>
      </c>
      <c r="C183">
        <v>51</v>
      </c>
      <c r="D183">
        <v>38</v>
      </c>
      <c r="E183">
        <v>45</v>
      </c>
      <c r="F183">
        <v>53</v>
      </c>
      <c r="G183">
        <v>6</v>
      </c>
      <c r="H183">
        <v>0</v>
      </c>
      <c r="I183">
        <f t="shared" si="24"/>
        <v>48.5</v>
      </c>
      <c r="J183" s="1">
        <f t="shared" si="25"/>
        <v>49</v>
      </c>
      <c r="K183">
        <f t="shared" si="26"/>
        <v>139</v>
      </c>
      <c r="L183" s="14" t="str">
        <f t="shared" si="27"/>
        <v>D</v>
      </c>
      <c r="M183" t="s">
        <v>19</v>
      </c>
      <c r="N183" t="s">
        <v>221</v>
      </c>
      <c r="O183" t="s">
        <v>28</v>
      </c>
      <c r="R183" t="s">
        <v>246</v>
      </c>
    </row>
    <row r="184" spans="1:18" thickTop="1" thickBot="1">
      <c r="A184" s="16" t="s">
        <v>241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f t="shared" si="24"/>
        <v>3</v>
      </c>
      <c r="J184" s="1">
        <f t="shared" si="25"/>
        <v>3</v>
      </c>
      <c r="K184">
        <f t="shared" si="26"/>
        <v>165</v>
      </c>
      <c r="L184" s="14" t="str">
        <f t="shared" si="27"/>
        <v>D</v>
      </c>
      <c r="R184" t="s">
        <v>242</v>
      </c>
    </row>
    <row r="185" spans="1:18" thickTop="1" thickBot="1">
      <c r="A185" s="16" t="s">
        <v>224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f t="shared" si="24"/>
        <v>3</v>
      </c>
      <c r="J185" s="1">
        <f t="shared" si="25"/>
        <v>3</v>
      </c>
      <c r="K185">
        <f t="shared" si="26"/>
        <v>165</v>
      </c>
      <c r="L185" s="14" t="str">
        <f t="shared" si="27"/>
        <v>D</v>
      </c>
      <c r="R185" t="s">
        <v>242</v>
      </c>
    </row>
    <row r="186" spans="1:18" thickTop="1" thickBot="1">
      <c r="A186" s="16" t="s">
        <v>225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f t="shared" si="24"/>
        <v>3</v>
      </c>
      <c r="J186" s="1">
        <f t="shared" si="25"/>
        <v>3</v>
      </c>
      <c r="K186">
        <f t="shared" si="26"/>
        <v>165</v>
      </c>
      <c r="L186" s="14" t="str">
        <f t="shared" si="27"/>
        <v>D</v>
      </c>
      <c r="R186" t="s">
        <v>242</v>
      </c>
    </row>
    <row r="187" spans="1:18" thickTop="1" thickBot="1">
      <c r="A187" s="16" t="s">
        <v>228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f t="shared" si="24"/>
        <v>3</v>
      </c>
      <c r="J187" s="1">
        <f t="shared" si="25"/>
        <v>3</v>
      </c>
      <c r="K187">
        <f t="shared" si="26"/>
        <v>165</v>
      </c>
      <c r="L187" s="14" t="str">
        <f t="shared" si="27"/>
        <v>D</v>
      </c>
      <c r="R187" t="s">
        <v>242</v>
      </c>
    </row>
    <row r="188" spans="1:18" thickTop="1" thickBot="1">
      <c r="A188" s="16" t="s">
        <v>226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f t="shared" si="24"/>
        <v>3</v>
      </c>
      <c r="J188" s="1">
        <f t="shared" si="25"/>
        <v>3</v>
      </c>
      <c r="K188">
        <f t="shared" si="26"/>
        <v>165</v>
      </c>
      <c r="L188" s="14" t="str">
        <f t="shared" si="27"/>
        <v>D</v>
      </c>
      <c r="R188" t="s">
        <v>242</v>
      </c>
    </row>
    <row r="189" spans="1:18" thickTop="1" thickBot="1">
      <c r="A189" s="16" t="s">
        <v>227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f t="shared" si="24"/>
        <v>3</v>
      </c>
      <c r="J189" s="1">
        <f t="shared" si="25"/>
        <v>3</v>
      </c>
      <c r="K189">
        <f t="shared" si="26"/>
        <v>165</v>
      </c>
      <c r="L189" s="14" t="str">
        <f t="shared" si="27"/>
        <v>D</v>
      </c>
      <c r="R189" t="s">
        <v>242</v>
      </c>
    </row>
  </sheetData>
  <autoFilter ref="A1:R189" xr:uid="{00000000-0001-0000-0000-000000000000}">
    <sortState ref="A2:R181">
      <sortCondition ref="A1:A181"/>
    </sortState>
  </autoFilter>
  <conditionalFormatting sqref="R1:R1048576">
    <cfRule type="cellIs" dxfId="23" priority="13" operator="equal">
      <formula>"pending"</formula>
    </cfRule>
    <cfRule type="cellIs" dxfId="22" priority="14" operator="equal">
      <formula>"up"</formula>
    </cfRule>
    <cfRule type="expression" dxfId="21" priority="25">
      <formula>OR(ISBLANK(R1),R1="")</formula>
    </cfRule>
    <cfRule type="cellIs" dxfId="20" priority="26" operator="equal">
      <formula>"tbd"</formula>
    </cfRule>
    <cfRule type="cellIs" dxfId="19" priority="27" operator="equal">
      <formula>"d"</formula>
    </cfRule>
  </conditionalFormatting>
  <conditionalFormatting sqref="L1:L1048576">
    <cfRule type="cellIs" dxfId="18" priority="18" operator="equal">
      <formula>"S+"</formula>
    </cfRule>
    <cfRule type="cellIs" dxfId="17" priority="19" operator="equal">
      <formula>"S"</formula>
    </cfRule>
    <cfRule type="cellIs" dxfId="16" priority="20" operator="equal">
      <formula>"A+"</formula>
    </cfRule>
    <cfRule type="cellIs" dxfId="15" priority="21" operator="equal">
      <formula>"B"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"D"</formula>
    </cfRule>
  </conditionalFormatting>
  <conditionalFormatting sqref="J1:J104857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:F1048576 H182:H1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lorScale" priority="15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conditionalFormatting sqref="P1:P1048576">
    <cfRule type="cellIs" dxfId="11" priority="5" operator="equal">
      <formula>9</formula>
    </cfRule>
    <cfRule type="cellIs" dxfId="10" priority="6" operator="equal">
      <formula>8</formula>
    </cfRule>
    <cfRule type="cellIs" dxfId="9" priority="7" operator="equal">
      <formula>6</formula>
    </cfRule>
    <cfRule type="cellIs" dxfId="8" priority="8" operator="equal">
      <formula>5</formula>
    </cfRule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conditionalFormatting sqref="Q1:Q1048576">
    <cfRule type="cellIs" dxfId="3" priority="1" operator="equal">
      <formula>"ttoc1"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BCD1B-14A2-4B6C-9D38-6CAF7FB91FE3}">
  <sheetPr codeName="Sheet3">
    <tabColor rgb="FFFF0000"/>
  </sheetPr>
  <dimension ref="A1:H694"/>
  <sheetViews>
    <sheetView workbookViewId="0">
      <selection activeCell="E29" sqref="E29"/>
    </sheetView>
  </sheetViews>
  <sheetFormatPr defaultRowHeight="13.8"/>
  <cols>
    <col min="2" max="2" width="22.5" customWidth="1"/>
    <col min="3" max="3" width="23.69921875" customWidth="1"/>
    <col min="4" max="4" width="20.796875" customWidth="1"/>
    <col min="5" max="5" width="9.19921875" customWidth="1"/>
    <col min="6" max="6" width="10" customWidth="1"/>
    <col min="7" max="7" width="9.5" customWidth="1"/>
    <col min="8" max="8" width="16.59765625" style="4" customWidth="1"/>
  </cols>
  <sheetData>
    <row r="1" spans="1:8">
      <c r="A1" s="17" t="s">
        <v>244</v>
      </c>
      <c r="B1" s="17" t="s">
        <v>229</v>
      </c>
      <c r="C1" s="17" t="s">
        <v>230</v>
      </c>
      <c r="D1" s="17" t="s">
        <v>231</v>
      </c>
      <c r="E1" s="17" t="s">
        <v>232</v>
      </c>
      <c r="F1" s="17" t="s">
        <v>233</v>
      </c>
      <c r="G1" s="17" t="s">
        <v>234</v>
      </c>
      <c r="H1" s="18" t="s">
        <v>235</v>
      </c>
    </row>
    <row r="2" spans="1:8">
      <c r="A2">
        <f>IF(AND(B2&lt;&gt;"",C2&lt;&gt;"",D2&lt;&gt;""),ROW()-1,"")</f>
        <v>1</v>
      </c>
      <c r="B2" t="s">
        <v>71</v>
      </c>
      <c r="C2" t="s">
        <v>51</v>
      </c>
      <c r="D2" t="s">
        <v>65</v>
      </c>
      <c r="E2" t="str">
        <f>IF(B2="","",IFERROR(VLOOKUP(B2,csvratings!$A:$R,18,FALSE),"Not Found"))</f>
        <v>d</v>
      </c>
      <c r="F2" t="str">
        <f>IF(C2="","",IFERROR(VLOOKUP(C2,csvratings!$A:$R,18,FALSE),"Not Found"))</f>
        <v>d</v>
      </c>
      <c r="G2" t="str">
        <f>IF(D2="","",IFERROR(VLOOKUP(D2,csvratings!$A:$R,18,FALSE),"Not Found"))</f>
        <v>d</v>
      </c>
      <c r="H2" s="4">
        <f ca="1">IF(AND(B2&lt;&gt;"",C2&lt;&gt;"",D2&lt;&gt;""),TODAY(),"")</f>
        <v>45703</v>
      </c>
    </row>
    <row r="3" spans="1:8">
      <c r="A3">
        <f t="shared" ref="A3:A29" si="0">IF(AND(B3&lt;&gt;"",C3&lt;&gt;"",D3&lt;&gt;""),ROW()-1,"")</f>
        <v>2</v>
      </c>
      <c r="B3" t="s">
        <v>58</v>
      </c>
      <c r="C3" t="s">
        <v>82</v>
      </c>
      <c r="D3" t="s">
        <v>85</v>
      </c>
      <c r="E3" t="str">
        <f>IF(B3="","",IFERROR(VLOOKUP(B3,csvratings!$A:$R,18,FALSE),"Not Found"))</f>
        <v>d</v>
      </c>
      <c r="F3" t="str">
        <f>IF(C3="","",IFERROR(VLOOKUP(C3,csvratings!$A:$R,18,FALSE),"Not Found"))</f>
        <v>d</v>
      </c>
      <c r="G3" t="str">
        <f>IF(D3="","",IFERROR(VLOOKUP(D3,csvratings!$A:$R,18,FALSE),"Not Found"))</f>
        <v>d</v>
      </c>
      <c r="H3" s="4">
        <f t="shared" ref="H3:H66" ca="1" si="1">IF(AND(B3&lt;&gt;"",C3&lt;&gt;"",D3&lt;&gt;""),TODAY(),"")</f>
        <v>45703</v>
      </c>
    </row>
    <row r="4" spans="1:8">
      <c r="A4">
        <f t="shared" si="0"/>
        <v>3</v>
      </c>
      <c r="B4" t="s">
        <v>110</v>
      </c>
      <c r="C4" t="s">
        <v>238</v>
      </c>
      <c r="D4" t="s">
        <v>155</v>
      </c>
      <c r="E4" t="str">
        <f>IF(B4="","",IFERROR(VLOOKUP(B4,csvratings!$A:$R,18,FALSE),"Not Found"))</f>
        <v>d</v>
      </c>
      <c r="F4" t="str">
        <f>IF(C4="","",IFERROR(VLOOKUP(C4,csvratings!$A:$R,18,FALSE),"Not Found"))</f>
        <v>Not Found</v>
      </c>
      <c r="G4" t="str">
        <f>IF(D4="","",IFERROR(VLOOKUP(D4,csvratings!$A:$R,18,FALSE),"Not Found"))</f>
        <v>d</v>
      </c>
      <c r="H4" s="4">
        <f t="shared" ca="1" si="1"/>
        <v>45703</v>
      </c>
    </row>
    <row r="5" spans="1:8">
      <c r="A5">
        <f t="shared" si="0"/>
        <v>4</v>
      </c>
      <c r="B5" s="3" t="s">
        <v>117</v>
      </c>
      <c r="C5" t="s">
        <v>59</v>
      </c>
      <c r="D5" t="s">
        <v>101</v>
      </c>
      <c r="E5" t="str">
        <f>IF(B5="","",IFERROR(VLOOKUP(B5,csvratings!$A:$R,18,FALSE),"Not Found"))</f>
        <v>d</v>
      </c>
      <c r="F5" t="str">
        <f>IF(C5="","",IFERROR(VLOOKUP(C5,csvratings!$A:$R,18,FALSE),"Not Found"))</f>
        <v>d</v>
      </c>
      <c r="G5" t="str">
        <f>IF(D5="","",IFERROR(VLOOKUP(D5,csvratings!$A:$R,18,FALSE),"Not Found"))</f>
        <v>d</v>
      </c>
      <c r="H5" s="4">
        <f t="shared" ca="1" si="1"/>
        <v>45703</v>
      </c>
    </row>
    <row r="6" spans="1:8">
      <c r="A6">
        <f t="shared" si="0"/>
        <v>5</v>
      </c>
      <c r="B6" t="s">
        <v>91</v>
      </c>
      <c r="C6" t="s">
        <v>89</v>
      </c>
      <c r="D6" t="s">
        <v>152</v>
      </c>
      <c r="E6" t="str">
        <f>IF(B6="","",IFERROR(VLOOKUP(B6,csvratings!$A:$R,18,FALSE),"Not Found"))</f>
        <v>d</v>
      </c>
      <c r="F6" t="str">
        <f>IF(C6="","",IFERROR(VLOOKUP(C6,csvratings!$A:$R,18,FALSE),"Not Found"))</f>
        <v>d</v>
      </c>
      <c r="G6" t="str">
        <f>IF(D6="","",IFERROR(VLOOKUP(D6,csvratings!$A:$R,18,FALSE),"Not Found"))</f>
        <v>d</v>
      </c>
      <c r="H6" s="4">
        <f t="shared" ca="1" si="1"/>
        <v>45703</v>
      </c>
    </row>
    <row r="7" spans="1:8">
      <c r="A7">
        <f t="shared" si="0"/>
        <v>6</v>
      </c>
      <c r="B7" t="s">
        <v>236</v>
      </c>
      <c r="C7" t="s">
        <v>132</v>
      </c>
      <c r="D7" t="s">
        <v>106</v>
      </c>
      <c r="E7" t="str">
        <f>IF(B7="","",IFERROR(VLOOKUP(B7,csvratings!$A:$R,18,FALSE),"Not Found"))</f>
        <v>d</v>
      </c>
      <c r="F7" t="str">
        <f>IF(C7="","",IFERROR(VLOOKUP(C7,csvratings!$A:$R,18,FALSE),"Not Found"))</f>
        <v>d</v>
      </c>
      <c r="G7" t="str">
        <f>IF(D7="","",IFERROR(VLOOKUP(D7,csvratings!$A:$R,18,FALSE),"Not Found"))</f>
        <v>d</v>
      </c>
      <c r="H7" s="4">
        <f t="shared" ca="1" si="1"/>
        <v>45703</v>
      </c>
    </row>
    <row r="8" spans="1:8">
      <c r="A8">
        <f t="shared" si="0"/>
        <v>7</v>
      </c>
      <c r="B8" t="s">
        <v>172</v>
      </c>
      <c r="C8" t="s">
        <v>86</v>
      </c>
      <c r="D8" t="s">
        <v>95</v>
      </c>
      <c r="E8" t="str">
        <f>IF(B8="","",IFERROR(VLOOKUP(B8,csvratings!$A:$R,18,FALSE),"Not Found"))</f>
        <v>d</v>
      </c>
      <c r="F8" t="str">
        <f>IF(C8="","",IFERROR(VLOOKUP(C8,csvratings!$A:$R,18,FALSE),"Not Found"))</f>
        <v>d</v>
      </c>
      <c r="G8" t="str">
        <f>IF(D8="","",IFERROR(VLOOKUP(D8,csvratings!$A:$R,18,FALSE),"Not Found"))</f>
        <v>d</v>
      </c>
      <c r="H8" s="4">
        <f t="shared" ca="1" si="1"/>
        <v>45703</v>
      </c>
    </row>
    <row r="9" spans="1:8">
      <c r="A9">
        <f t="shared" si="0"/>
        <v>8</v>
      </c>
      <c r="B9" t="s">
        <v>39</v>
      </c>
      <c r="C9" t="s">
        <v>66</v>
      </c>
      <c r="D9" t="s">
        <v>72</v>
      </c>
      <c r="E9" t="str">
        <f>IF(B9="","",IFERROR(VLOOKUP(B9,csvratings!$A:$R,18,FALSE),"Not Found"))</f>
        <v>d</v>
      </c>
      <c r="F9" t="str">
        <f>IF(C9="","",IFERROR(VLOOKUP(C9,csvratings!$A:$R,18,FALSE),"Not Found"))</f>
        <v>d</v>
      </c>
      <c r="G9" t="str">
        <f>IF(D9="","",IFERROR(VLOOKUP(D9,csvratings!$A:$R,18,FALSE),"Not Found"))</f>
        <v>d</v>
      </c>
      <c r="H9" s="4">
        <f t="shared" ca="1" si="1"/>
        <v>45703</v>
      </c>
    </row>
    <row r="10" spans="1:8">
      <c r="A10">
        <f t="shared" si="0"/>
        <v>9</v>
      </c>
      <c r="B10" t="s">
        <v>75</v>
      </c>
      <c r="C10" t="s">
        <v>102</v>
      </c>
      <c r="D10" t="s">
        <v>136</v>
      </c>
      <c r="E10" t="str">
        <f>IF(B10="","",IFERROR(VLOOKUP(B10,csvratings!$A:$R,18,FALSE),"Not Found"))</f>
        <v>d</v>
      </c>
      <c r="F10" t="str">
        <f>IF(C10="","",IFERROR(VLOOKUP(C10,csvratings!$A:$R,18,FALSE),"Not Found"))</f>
        <v>d</v>
      </c>
      <c r="G10" t="str">
        <f>IF(D10="","",IFERROR(VLOOKUP(D10,csvratings!$A:$R,18,FALSE),"Not Found"))</f>
        <v>d</v>
      </c>
      <c r="H10" s="4">
        <f t="shared" ca="1" si="1"/>
        <v>45703</v>
      </c>
    </row>
    <row r="11" spans="1:8">
      <c r="A11">
        <f t="shared" si="0"/>
        <v>10</v>
      </c>
      <c r="B11" t="s">
        <v>176</v>
      </c>
      <c r="C11" t="s">
        <v>138</v>
      </c>
      <c r="D11" t="s">
        <v>149</v>
      </c>
      <c r="E11" t="str">
        <f>IF(B11="","",IFERROR(VLOOKUP(B11,csvratings!$A:$R,18,FALSE),"Not Found"))</f>
        <v>d</v>
      </c>
      <c r="F11" t="str">
        <f>IF(C11="","",IFERROR(VLOOKUP(C11,csvratings!$A:$R,18,FALSE),"Not Found"))</f>
        <v>d</v>
      </c>
      <c r="G11" t="str">
        <f>IF(D11="","",IFERROR(VLOOKUP(D11,csvratings!$A:$R,18,FALSE),"Not Found"))</f>
        <v>d</v>
      </c>
      <c r="H11" s="4">
        <f t="shared" ca="1" si="1"/>
        <v>45703</v>
      </c>
    </row>
    <row r="12" spans="1:8">
      <c r="A12">
        <f t="shared" si="0"/>
        <v>11</v>
      </c>
      <c r="B12" t="s">
        <v>187</v>
      </c>
      <c r="C12" t="s">
        <v>158</v>
      </c>
      <c r="D12" t="s">
        <v>237</v>
      </c>
      <c r="E12" t="str">
        <f>IF(B12="","",IFERROR(VLOOKUP(B12,csvratings!$A:$R,18,FALSE),"Not Found"))</f>
        <v>d</v>
      </c>
      <c r="F12" t="str">
        <f>IF(C12="","",IFERROR(VLOOKUP(C12,csvratings!$A:$R,18,FALSE),"Not Found"))</f>
        <v>d</v>
      </c>
      <c r="G12" t="str">
        <f>IF(D12="","",IFERROR(VLOOKUP(D12,csvratings!$A:$R,18,FALSE),"Not Found"))</f>
        <v>d</v>
      </c>
      <c r="H12" s="4">
        <f t="shared" ca="1" si="1"/>
        <v>45703</v>
      </c>
    </row>
    <row r="13" spans="1:8">
      <c r="A13">
        <f t="shared" si="0"/>
        <v>12</v>
      </c>
      <c r="B13" t="s">
        <v>141</v>
      </c>
      <c r="C13" t="s">
        <v>163</v>
      </c>
      <c r="D13" t="s">
        <v>174</v>
      </c>
      <c r="E13" t="str">
        <f>IF(B13="","",IFERROR(VLOOKUP(B13,csvratings!$A:$R,18,FALSE),"Not Found"))</f>
        <v>d</v>
      </c>
      <c r="F13" t="str">
        <f>IF(C13="","",IFERROR(VLOOKUP(C13,csvratings!$A:$R,18,FALSE),"Not Found"))</f>
        <v>d</v>
      </c>
      <c r="G13" t="str">
        <f>IF(D13="","",IFERROR(VLOOKUP(D13,csvratings!$A:$R,18,FALSE),"Not Found"))</f>
        <v>d</v>
      </c>
      <c r="H13" s="4">
        <f t="shared" ca="1" si="1"/>
        <v>45703</v>
      </c>
    </row>
    <row r="14" spans="1:8">
      <c r="A14">
        <f t="shared" si="0"/>
        <v>13</v>
      </c>
      <c r="B14" t="s">
        <v>143</v>
      </c>
      <c r="C14" t="s">
        <v>175</v>
      </c>
      <c r="D14" t="s">
        <v>30</v>
      </c>
      <c r="E14" t="str">
        <f>IF(B14="","",IFERROR(VLOOKUP(B14,csvratings!$A:$R,18,FALSE),"Not Found"))</f>
        <v>d</v>
      </c>
      <c r="F14" t="str">
        <f>IF(C14="","",IFERROR(VLOOKUP(C14,csvratings!$A:$R,18,FALSE),"Not Found"))</f>
        <v>d</v>
      </c>
      <c r="G14" t="str">
        <f>IF(D14="","",IFERROR(VLOOKUP(D14,csvratings!$A:$R,18,FALSE),"Not Found"))</f>
        <v>d</v>
      </c>
      <c r="H14" s="4">
        <f t="shared" ca="1" si="1"/>
        <v>45703</v>
      </c>
    </row>
    <row r="15" spans="1:8">
      <c r="A15">
        <f t="shared" si="0"/>
        <v>14</v>
      </c>
      <c r="B15" t="s">
        <v>148</v>
      </c>
      <c r="C15" t="s">
        <v>109</v>
      </c>
      <c r="D15" t="s">
        <v>18</v>
      </c>
      <c r="E15" t="str">
        <f>IF(B15="","",IFERROR(VLOOKUP(B15,csvratings!$A:$R,18,FALSE),"Not Found"))</f>
        <v>d</v>
      </c>
      <c r="F15" t="str">
        <f>IF(C15="","",IFERROR(VLOOKUP(C15,csvratings!$A:$R,18,FALSE),"Not Found"))</f>
        <v>d</v>
      </c>
      <c r="G15" t="str">
        <f>IF(D15="","",IFERROR(VLOOKUP(D15,csvratings!$A:$R,18,FALSE),"Not Found"))</f>
        <v>d</v>
      </c>
      <c r="H15" s="4">
        <f t="shared" ca="1" si="1"/>
        <v>45703</v>
      </c>
    </row>
    <row r="16" spans="1:8">
      <c r="A16">
        <f t="shared" si="0"/>
        <v>15</v>
      </c>
      <c r="B16" t="s">
        <v>137</v>
      </c>
      <c r="C16" t="s">
        <v>103</v>
      </c>
      <c r="D16" t="s">
        <v>42</v>
      </c>
      <c r="E16" t="str">
        <f>IF(B16="","",IFERROR(VLOOKUP(B16,csvratings!$A:$R,18,FALSE),"Not Found"))</f>
        <v>d</v>
      </c>
      <c r="F16" t="str">
        <f>IF(C16="","",IFERROR(VLOOKUP(C16,csvratings!$A:$R,18,FALSE),"Not Found"))</f>
        <v>d</v>
      </c>
      <c r="G16" t="str">
        <f>IF(D16="","",IFERROR(VLOOKUP(D16,csvratings!$A:$R,18,FALSE),"Not Found"))</f>
        <v>d</v>
      </c>
      <c r="H16" s="4">
        <f t="shared" ca="1" si="1"/>
        <v>45703</v>
      </c>
    </row>
    <row r="17" spans="1:8">
      <c r="A17">
        <f t="shared" si="0"/>
        <v>16</v>
      </c>
      <c r="B17" t="s">
        <v>104</v>
      </c>
      <c r="C17" t="s">
        <v>177</v>
      </c>
      <c r="D17" t="s">
        <v>79</v>
      </c>
      <c r="E17" t="str">
        <f>IF(B17="","",IFERROR(VLOOKUP(B17,csvratings!$A:$R,18,FALSE),"Not Found"))</f>
        <v>up</v>
      </c>
      <c r="F17" t="str">
        <f>IF(C17="","",IFERROR(VLOOKUP(C17,csvratings!$A:$R,18,FALSE),"Not Found"))</f>
        <v>d</v>
      </c>
      <c r="G17" t="str">
        <f>IF(D17="","",IFERROR(VLOOKUP(D17,csvratings!$A:$R,18,FALSE),"Not Found"))</f>
        <v>d</v>
      </c>
      <c r="H17" s="4">
        <f t="shared" ca="1" si="1"/>
        <v>45703</v>
      </c>
    </row>
    <row r="18" spans="1:8">
      <c r="A18">
        <f t="shared" si="0"/>
        <v>17</v>
      </c>
      <c r="B18" t="s">
        <v>98</v>
      </c>
      <c r="C18" t="s">
        <v>105</v>
      </c>
      <c r="D18" t="s">
        <v>61</v>
      </c>
      <c r="E18" t="str">
        <f>IF(B18="","",IFERROR(VLOOKUP(B18,csvratings!$A:$R,18,FALSE),"Not Found"))</f>
        <v>d</v>
      </c>
      <c r="F18" t="str">
        <f>IF(C18="","",IFERROR(VLOOKUP(C18,csvratings!$A:$R,18,FALSE),"Not Found"))</f>
        <v>d</v>
      </c>
      <c r="G18" t="str">
        <f>IF(D18="","",IFERROR(VLOOKUP(D18,csvratings!$A:$R,18,FALSE),"Not Found"))</f>
        <v>d</v>
      </c>
      <c r="H18" s="4">
        <f t="shared" ca="1" si="1"/>
        <v>45703</v>
      </c>
    </row>
    <row r="19" spans="1:8">
      <c r="A19">
        <f t="shared" si="0"/>
        <v>18</v>
      </c>
      <c r="B19" t="s">
        <v>64</v>
      </c>
      <c r="C19" t="s">
        <v>189</v>
      </c>
      <c r="D19" t="s">
        <v>203</v>
      </c>
      <c r="E19" t="str">
        <f>IF(B19="","",IFERROR(VLOOKUP(B19,csvratings!$A:$R,18,FALSE),"Not Found"))</f>
        <v>d</v>
      </c>
      <c r="F19" t="str">
        <f>IF(C19="","",IFERROR(VLOOKUP(C19,csvratings!$A:$R,18,FALSE),"Not Found"))</f>
        <v>d</v>
      </c>
      <c r="G19" t="str">
        <f>IF(D19="","",IFERROR(VLOOKUP(D19,csvratings!$A:$R,18,FALSE),"Not Found"))</f>
        <v>d</v>
      </c>
      <c r="H19" s="4">
        <f t="shared" ca="1" si="1"/>
        <v>45703</v>
      </c>
    </row>
    <row r="20" spans="1:8">
      <c r="A20">
        <f t="shared" si="0"/>
        <v>19</v>
      </c>
      <c r="B20" t="s">
        <v>202</v>
      </c>
      <c r="C20" t="s">
        <v>197</v>
      </c>
      <c r="D20" t="s">
        <v>124</v>
      </c>
      <c r="E20" t="str">
        <f>IF(B20="","",IFERROR(VLOOKUP(B20,csvratings!$A:$R,18,FALSE),"Not Found"))</f>
        <v>d</v>
      </c>
      <c r="F20" t="str">
        <f>IF(C20="","",IFERROR(VLOOKUP(C20,csvratings!$A:$R,18,FALSE),"Not Found"))</f>
        <v>d</v>
      </c>
      <c r="G20" t="str">
        <f>IF(D20="","",IFERROR(VLOOKUP(D20,csvratings!$A:$R,18,FALSE),"Not Found"))</f>
        <v>d</v>
      </c>
      <c r="H20" s="4">
        <f t="shared" ca="1" si="1"/>
        <v>45703</v>
      </c>
    </row>
    <row r="21" spans="1:8">
      <c r="A21">
        <f t="shared" si="0"/>
        <v>20</v>
      </c>
      <c r="B21" t="s">
        <v>151</v>
      </c>
      <c r="C21" t="s">
        <v>195</v>
      </c>
      <c r="D21" t="s">
        <v>200</v>
      </c>
      <c r="E21" t="str">
        <f>IF(B21="","",IFERROR(VLOOKUP(B21,csvratings!$A:$R,18,FALSE),"Not Found"))</f>
        <v>d</v>
      </c>
      <c r="F21" t="str">
        <f>IF(C21="","",IFERROR(VLOOKUP(C21,csvratings!$A:$R,18,FALSE),"Not Found"))</f>
        <v>d</v>
      </c>
      <c r="G21" t="str">
        <f>IF(D21="","",IFERROR(VLOOKUP(D21,csvratings!$A:$R,18,FALSE),"Not Found"))</f>
        <v>d</v>
      </c>
      <c r="H21" s="4">
        <f t="shared" ca="1" si="1"/>
        <v>45703</v>
      </c>
    </row>
    <row r="22" spans="1:8">
      <c r="A22">
        <f t="shared" si="0"/>
        <v>21</v>
      </c>
      <c r="B22" t="s">
        <v>201</v>
      </c>
      <c r="C22" t="s">
        <v>105</v>
      </c>
      <c r="D22" t="s">
        <v>156</v>
      </c>
      <c r="E22" t="str">
        <f>IF(B22="","",IFERROR(VLOOKUP(B22,csvratings!$A:$R,18,FALSE),"Not Found"))</f>
        <v>d</v>
      </c>
      <c r="F22" t="str">
        <f>IF(C22="","",IFERROR(VLOOKUP(C22,csvratings!$A:$R,18,FALSE),"Not Found"))</f>
        <v>d</v>
      </c>
      <c r="G22" t="str">
        <f>IF(D22="","",IFERROR(VLOOKUP(D22,csvratings!$A:$R,18,FALSE),"Not Found"))</f>
        <v>d</v>
      </c>
      <c r="H22" s="4">
        <f t="shared" ca="1" si="1"/>
        <v>45703</v>
      </c>
    </row>
    <row r="23" spans="1:8">
      <c r="A23">
        <f t="shared" si="0"/>
        <v>22</v>
      </c>
      <c r="B23" t="s">
        <v>167</v>
      </c>
      <c r="C23" t="s">
        <v>37</v>
      </c>
      <c r="D23" t="s">
        <v>63</v>
      </c>
      <c r="E23" t="str">
        <f>IF(B23="","",IFERROR(VLOOKUP(B23,csvratings!$A:$R,18,FALSE),"Not Found"))</f>
        <v>d</v>
      </c>
      <c r="F23" t="str">
        <f>IF(C23="","",IFERROR(VLOOKUP(C23,csvratings!$A:$R,18,FALSE),"Not Found"))</f>
        <v>d</v>
      </c>
      <c r="G23" t="str">
        <f>IF(D23="","",IFERROR(VLOOKUP(D23,csvratings!$A:$R,18,FALSE),"Not Found"))</f>
        <v>d</v>
      </c>
      <c r="H23" s="4">
        <f t="shared" ca="1" si="1"/>
        <v>45703</v>
      </c>
    </row>
    <row r="24" spans="1:8">
      <c r="A24">
        <f t="shared" si="0"/>
        <v>23</v>
      </c>
      <c r="B24" t="s">
        <v>49</v>
      </c>
      <c r="C24" t="s">
        <v>45</v>
      </c>
      <c r="D24" t="s">
        <v>29</v>
      </c>
      <c r="E24" t="str">
        <f>IF(B24="","",IFERROR(VLOOKUP(B24,csvratings!$A:$R,18,FALSE),"Not Found"))</f>
        <v>d</v>
      </c>
      <c r="F24" t="str">
        <f>IF(C24="","",IFERROR(VLOOKUP(C24,csvratings!$A:$R,18,FALSE),"Not Found"))</f>
        <v>d</v>
      </c>
      <c r="G24" t="str">
        <f>IF(D24="","",IFERROR(VLOOKUP(D24,csvratings!$A:$R,18,FALSE),"Not Found"))</f>
        <v>d</v>
      </c>
      <c r="H24" s="4">
        <f t="shared" ca="1" si="1"/>
        <v>45703</v>
      </c>
    </row>
    <row r="25" spans="1:8">
      <c r="A25">
        <f t="shared" si="0"/>
        <v>24</v>
      </c>
      <c r="B25" t="s">
        <v>34</v>
      </c>
      <c r="C25" t="s">
        <v>211</v>
      </c>
      <c r="D25" t="s">
        <v>26</v>
      </c>
      <c r="E25" t="str">
        <f>IF(B25="","",IFERROR(VLOOKUP(B25,csvratings!$A:$R,18,FALSE),"Not Found"))</f>
        <v>d</v>
      </c>
      <c r="F25" t="str">
        <f>IF(C25="","",IFERROR(VLOOKUP(C25,csvratings!$A:$R,18,FALSE),"Not Found"))</f>
        <v>d</v>
      </c>
      <c r="G25" t="str">
        <f>IF(D25="","",IFERROR(VLOOKUP(D25,csvratings!$A:$R,18,FALSE),"Not Found"))</f>
        <v>d</v>
      </c>
      <c r="H25" s="4">
        <f t="shared" ca="1" si="1"/>
        <v>45703</v>
      </c>
    </row>
    <row r="26" spans="1:8">
      <c r="A26">
        <f t="shared" si="0"/>
        <v>25</v>
      </c>
      <c r="B26" t="s">
        <v>76</v>
      </c>
      <c r="C26" t="s">
        <v>25</v>
      </c>
      <c r="D26" t="s">
        <v>83</v>
      </c>
      <c r="E26" t="str">
        <f>IF(B26="","",IFERROR(VLOOKUP(B26,csvratings!$A:$R,18,FALSE),"Not Found"))</f>
        <v>d</v>
      </c>
      <c r="F26" t="str">
        <f>IF(C26="","",IFERROR(VLOOKUP(C26,csvratings!$A:$R,18,FALSE),"Not Found"))</f>
        <v>d</v>
      </c>
      <c r="G26" t="str">
        <f>IF(D26="","",IFERROR(VLOOKUP(D26,csvratings!$A:$R,18,FALSE),"Not Found"))</f>
        <v>d</v>
      </c>
      <c r="H26" s="4">
        <f t="shared" ca="1" si="1"/>
        <v>45703</v>
      </c>
    </row>
    <row r="27" spans="1:8">
      <c r="A27">
        <f t="shared" si="0"/>
        <v>26</v>
      </c>
      <c r="B27" t="s">
        <v>216</v>
      </c>
      <c r="C27" t="s">
        <v>127</v>
      </c>
      <c r="D27" t="s">
        <v>31</v>
      </c>
      <c r="E27" t="str">
        <f>IF(B27="","",IFERROR(VLOOKUP(B27,csvratings!$A:$R,18,FALSE),"Not Found"))</f>
        <v>d</v>
      </c>
      <c r="F27" t="str">
        <f>IF(C27="","",IFERROR(VLOOKUP(C27,csvratings!$A:$R,18,FALSE),"Not Found"))</f>
        <v>d</v>
      </c>
      <c r="G27" t="str">
        <f>IF(D27="","",IFERROR(VLOOKUP(D27,csvratings!$A:$R,18,FALSE),"Not Found"))</f>
        <v>d</v>
      </c>
      <c r="H27" s="4">
        <f t="shared" ca="1" si="1"/>
        <v>45703</v>
      </c>
    </row>
    <row r="28" spans="1:8">
      <c r="A28">
        <f t="shared" si="0"/>
        <v>27</v>
      </c>
      <c r="B28" t="s">
        <v>217</v>
      </c>
      <c r="C28" t="s">
        <v>205</v>
      </c>
      <c r="D28" t="s">
        <v>220</v>
      </c>
      <c r="E28" t="str">
        <f>IF(B28="","",IFERROR(VLOOKUP(B28,csvratings!$A:$R,18,FALSE),"Not Found"))</f>
        <v>pending</v>
      </c>
      <c r="F28" t="str">
        <f>IF(C28="","",IFERROR(VLOOKUP(C28,csvratings!$A:$R,18,FALSE),"Not Found"))</f>
        <v>d</v>
      </c>
      <c r="G28" t="str">
        <f>IF(D28="","",IFERROR(VLOOKUP(D28,csvratings!$A:$R,18,FALSE),"Not Found"))</f>
        <v>d</v>
      </c>
      <c r="H28" s="4">
        <f t="shared" ca="1" si="1"/>
        <v>45703</v>
      </c>
    </row>
    <row r="29" spans="1:8">
      <c r="A29">
        <f t="shared" si="0"/>
        <v>28</v>
      </c>
      <c r="B29" t="s">
        <v>218</v>
      </c>
      <c r="C29" t="s">
        <v>243</v>
      </c>
      <c r="D29" t="s">
        <v>48</v>
      </c>
      <c r="E29" t="str">
        <f>IF(B29="","",IFERROR(VLOOKUP(B29,csvratings!$A:$R,18,FALSE),"Not Found"))</f>
        <v>d</v>
      </c>
      <c r="F29" t="str">
        <f>IF(C29="","",IFERROR(VLOOKUP(C29,csvratings!$A:$R,18,FALSE),"Not Found"))</f>
        <v>d</v>
      </c>
      <c r="G29" t="str">
        <f>IF(D29="","",IFERROR(VLOOKUP(D29,csvratings!$A:$R,18,FALSE),"Not Found"))</f>
        <v>d</v>
      </c>
      <c r="H29" s="4">
        <f t="shared" ca="1" si="1"/>
        <v>45703</v>
      </c>
    </row>
    <row r="30" spans="1:8">
      <c r="E30" t="str">
        <f>IF(B30="","",IFERROR(VLOOKUP(B30,csvratings!$A:$R,18,FALSE),"Not Found"))</f>
        <v/>
      </c>
      <c r="F30" t="str">
        <f>IF(C30="","",IFERROR(VLOOKUP(C30,csvratings!$A:$R,18,FALSE),"Not Found"))</f>
        <v/>
      </c>
      <c r="G30" t="str">
        <f>IF(D30="","",IFERROR(VLOOKUP(D30,csvratings!$A:$R,18,FALSE),"Not Found"))</f>
        <v/>
      </c>
      <c r="H30" s="4" t="str">
        <f t="shared" ca="1" si="1"/>
        <v/>
      </c>
    </row>
    <row r="31" spans="1:8">
      <c r="E31" t="str">
        <f>IF(B31="","",IFERROR(VLOOKUP(B31,csvratings!$A:$R,18,FALSE),"Not Found"))</f>
        <v/>
      </c>
      <c r="F31" t="str">
        <f>IF(C31="","",IFERROR(VLOOKUP(C31,csvratings!$A:$R,18,FALSE),"Not Found"))</f>
        <v/>
      </c>
      <c r="G31" t="str">
        <f>IF(D31="","",IFERROR(VLOOKUP(D31,csvratings!$A:$R,18,FALSE),"Not Found"))</f>
        <v/>
      </c>
      <c r="H31" s="4" t="str">
        <f t="shared" ca="1" si="1"/>
        <v/>
      </c>
    </row>
    <row r="32" spans="1:8">
      <c r="E32" t="str">
        <f>IF(B32="","",IFERROR(VLOOKUP(B32,csvratings!$A:$R,18,FALSE),"Not Found"))</f>
        <v/>
      </c>
      <c r="F32" t="str">
        <f>IF(C32="","",IFERROR(VLOOKUP(C32,csvratings!$A:$R,18,FALSE),"Not Found"))</f>
        <v/>
      </c>
      <c r="G32" t="str">
        <f>IF(D32="","",IFERROR(VLOOKUP(D32,csvratings!$A:$R,18,FALSE),"Not Found"))</f>
        <v/>
      </c>
      <c r="H32" s="4" t="str">
        <f t="shared" ca="1" si="1"/>
        <v/>
      </c>
    </row>
    <row r="33" spans="5:8">
      <c r="E33" t="str">
        <f>IF(B33="","",IFERROR(VLOOKUP(B33,csvratings!$A:$R,18,FALSE),"Not Found"))</f>
        <v/>
      </c>
      <c r="F33" t="str">
        <f>IF(C33="","",IFERROR(VLOOKUP(C33,csvratings!$A:$R,18,FALSE),"Not Found"))</f>
        <v/>
      </c>
      <c r="G33" t="str">
        <f>IF(D33="","",IFERROR(VLOOKUP(D33,csvratings!$A:$R,18,FALSE),"Not Found"))</f>
        <v/>
      </c>
      <c r="H33" s="4" t="str">
        <f t="shared" ca="1" si="1"/>
        <v/>
      </c>
    </row>
    <row r="34" spans="5:8">
      <c r="E34" t="str">
        <f>IF(B34="","",IFERROR(VLOOKUP(B34,csvratings!$A:$R,18,FALSE),"Not Found"))</f>
        <v/>
      </c>
      <c r="F34" t="str">
        <f>IF(C34="","",IFERROR(VLOOKUP(C34,csvratings!$A:$R,18,FALSE),"Not Found"))</f>
        <v/>
      </c>
      <c r="G34" t="str">
        <f>IF(D34="","",IFERROR(VLOOKUP(D34,csvratings!$A:$R,18,FALSE),"Not Found"))</f>
        <v/>
      </c>
      <c r="H34" s="4" t="str">
        <f t="shared" ca="1" si="1"/>
        <v/>
      </c>
    </row>
    <row r="35" spans="5:8">
      <c r="E35" t="str">
        <f>IF(B35="","",IFERROR(VLOOKUP(B35,csvratings!$A:$R,18,FALSE),"Not Found"))</f>
        <v/>
      </c>
      <c r="F35" t="str">
        <f>IF(C35="","",IFERROR(VLOOKUP(C35,csvratings!$A:$R,18,FALSE),"Not Found"))</f>
        <v/>
      </c>
      <c r="G35" t="str">
        <f>IF(D35="","",IFERROR(VLOOKUP(D35,csvratings!$A:$R,18,FALSE),"Not Found"))</f>
        <v/>
      </c>
      <c r="H35" s="4" t="str">
        <f t="shared" ca="1" si="1"/>
        <v/>
      </c>
    </row>
    <row r="36" spans="5:8">
      <c r="E36" t="str">
        <f>IF(B36="","",IFERROR(VLOOKUP(B36,csvratings!$A:$R,18,FALSE),"Not Found"))</f>
        <v/>
      </c>
      <c r="F36" t="str">
        <f>IF(C36="","",IFERROR(VLOOKUP(C36,csvratings!$A:$R,18,FALSE),"Not Found"))</f>
        <v/>
      </c>
      <c r="G36" t="str">
        <f>IF(D36="","",IFERROR(VLOOKUP(D36,csvratings!$A:$R,18,FALSE),"Not Found"))</f>
        <v/>
      </c>
      <c r="H36" s="4" t="str">
        <f t="shared" ca="1" si="1"/>
        <v/>
      </c>
    </row>
    <row r="37" spans="5:8">
      <c r="E37" t="str">
        <f>IF(B37="","",IFERROR(VLOOKUP(B37,csvratings!$A:$R,18,FALSE),"Not Found"))</f>
        <v/>
      </c>
      <c r="F37" t="str">
        <f>IF(C37="","",IFERROR(VLOOKUP(C37,csvratings!$A:$R,18,FALSE),"Not Found"))</f>
        <v/>
      </c>
      <c r="G37" t="str">
        <f>IF(D37="","",IFERROR(VLOOKUP(D37,csvratings!$A:$R,18,FALSE),"Not Found"))</f>
        <v/>
      </c>
      <c r="H37" s="4" t="str">
        <f t="shared" ca="1" si="1"/>
        <v/>
      </c>
    </row>
    <row r="38" spans="5:8">
      <c r="E38" t="str">
        <f>IF(B38="","",IFERROR(VLOOKUP(B38,csvratings!$A:$R,18,FALSE),"Not Found"))</f>
        <v/>
      </c>
      <c r="F38" t="str">
        <f>IF(C38="","",IFERROR(VLOOKUP(C38,csvratings!$A:$R,18,FALSE),"Not Found"))</f>
        <v/>
      </c>
      <c r="G38" t="str">
        <f>IF(D38="","",IFERROR(VLOOKUP(D38,csvratings!$A:$R,18,FALSE),"Not Found"))</f>
        <v/>
      </c>
      <c r="H38" s="4" t="str">
        <f t="shared" ca="1" si="1"/>
        <v/>
      </c>
    </row>
    <row r="39" spans="5:8">
      <c r="E39" t="str">
        <f>IF(B39="","",IFERROR(VLOOKUP(B39,csvratings!$A:$R,18,FALSE),"Not Found"))</f>
        <v/>
      </c>
      <c r="F39" t="str">
        <f>IF(C39="","",IFERROR(VLOOKUP(C39,csvratings!$A:$R,18,FALSE),"Not Found"))</f>
        <v/>
      </c>
      <c r="G39" t="str">
        <f>IF(D39="","",IFERROR(VLOOKUP(D39,csvratings!$A:$R,18,FALSE),"Not Found"))</f>
        <v/>
      </c>
      <c r="H39" s="4" t="str">
        <f t="shared" ca="1" si="1"/>
        <v/>
      </c>
    </row>
    <row r="40" spans="5:8">
      <c r="E40" t="str">
        <f>IF(B40="","",IFERROR(VLOOKUP(B40,csvratings!$A:$R,18,FALSE),"Not Found"))</f>
        <v/>
      </c>
      <c r="F40" t="str">
        <f>IF(C40="","",IFERROR(VLOOKUP(C40,csvratings!$A:$R,18,FALSE),"Not Found"))</f>
        <v/>
      </c>
      <c r="G40" t="str">
        <f>IF(D40="","",IFERROR(VLOOKUP(D40,csvratings!$A:$R,18,FALSE),"Not Found"))</f>
        <v/>
      </c>
      <c r="H40" s="4" t="str">
        <f t="shared" ca="1" si="1"/>
        <v/>
      </c>
    </row>
    <row r="41" spans="5:8">
      <c r="E41" t="str">
        <f>IF(B41="","",IFERROR(VLOOKUP(B41,csvratings!$A:$R,18,FALSE),"Not Found"))</f>
        <v/>
      </c>
      <c r="F41" t="str">
        <f>IF(C41="","",IFERROR(VLOOKUP(C41,csvratings!$A:$R,18,FALSE),"Not Found"))</f>
        <v/>
      </c>
      <c r="G41" t="str">
        <f>IF(D41="","",IFERROR(VLOOKUP(D41,csvratings!$A:$R,18,FALSE),"Not Found"))</f>
        <v/>
      </c>
      <c r="H41" s="4" t="str">
        <f t="shared" ca="1" si="1"/>
        <v/>
      </c>
    </row>
    <row r="42" spans="5:8">
      <c r="E42" t="str">
        <f>IF(B42="","",IFERROR(VLOOKUP(B42,csvratings!$A:$R,18,FALSE),"Not Found"))</f>
        <v/>
      </c>
      <c r="F42" t="str">
        <f>IF(C42="","",IFERROR(VLOOKUP(C42,csvratings!$A:$R,18,FALSE),"Not Found"))</f>
        <v/>
      </c>
      <c r="G42" t="str">
        <f>IF(D42="","",IFERROR(VLOOKUP(D42,csvratings!$A:$R,18,FALSE),"Not Found"))</f>
        <v/>
      </c>
      <c r="H42" s="4" t="str">
        <f t="shared" ca="1" si="1"/>
        <v/>
      </c>
    </row>
    <row r="43" spans="5:8">
      <c r="E43" t="str">
        <f>IF(B43="","",IFERROR(VLOOKUP(B43,csvratings!$A:$R,18,FALSE),"Not Found"))</f>
        <v/>
      </c>
      <c r="F43" t="str">
        <f>IF(C43="","",IFERROR(VLOOKUP(C43,csvratings!$A:$R,18,FALSE),"Not Found"))</f>
        <v/>
      </c>
      <c r="G43" t="str">
        <f>IF(D43="","",IFERROR(VLOOKUP(D43,csvratings!$A:$R,18,FALSE),"Not Found"))</f>
        <v/>
      </c>
      <c r="H43" s="4" t="str">
        <f t="shared" ca="1" si="1"/>
        <v/>
      </c>
    </row>
    <row r="44" spans="5:8">
      <c r="E44" t="str">
        <f>IF(B44="","",IFERROR(VLOOKUP(B44,csvratings!$A:$R,18,FALSE),"Not Found"))</f>
        <v/>
      </c>
      <c r="F44" t="str">
        <f>IF(C44="","",IFERROR(VLOOKUP(C44,csvratings!$A:$R,18,FALSE),"Not Found"))</f>
        <v/>
      </c>
      <c r="G44" t="str">
        <f>IF(D44="","",IFERROR(VLOOKUP(D44,csvratings!$A:$R,18,FALSE),"Not Found"))</f>
        <v/>
      </c>
      <c r="H44" s="4" t="str">
        <f t="shared" ca="1" si="1"/>
        <v/>
      </c>
    </row>
    <row r="45" spans="5:8">
      <c r="E45" t="str">
        <f>IF(B45="","",IFERROR(VLOOKUP(B45,csvratings!$A:$R,18,FALSE),"Not Found"))</f>
        <v/>
      </c>
      <c r="F45" t="str">
        <f>IF(C45="","",IFERROR(VLOOKUP(C45,csvratings!$A:$R,18,FALSE),"Not Found"))</f>
        <v/>
      </c>
      <c r="G45" t="str">
        <f>IF(D45="","",IFERROR(VLOOKUP(D45,csvratings!$A:$R,18,FALSE),"Not Found"))</f>
        <v/>
      </c>
      <c r="H45" s="4" t="str">
        <f t="shared" ca="1" si="1"/>
        <v/>
      </c>
    </row>
    <row r="46" spans="5:8">
      <c r="E46" t="str">
        <f>IF(B46="","",IFERROR(VLOOKUP(B46,csvratings!$A:$R,18,FALSE),"Not Found"))</f>
        <v/>
      </c>
      <c r="F46" t="str">
        <f>IF(C46="","",IFERROR(VLOOKUP(C46,csvratings!$A:$R,18,FALSE),"Not Found"))</f>
        <v/>
      </c>
      <c r="G46" t="str">
        <f>IF(D46="","",IFERROR(VLOOKUP(D46,csvratings!$A:$R,18,FALSE),"Not Found"))</f>
        <v/>
      </c>
      <c r="H46" s="4" t="str">
        <f t="shared" ca="1" si="1"/>
        <v/>
      </c>
    </row>
    <row r="47" spans="5:8">
      <c r="E47" t="str">
        <f>IF(B47="","",IFERROR(VLOOKUP(B47,csvratings!$A:$R,18,FALSE),"Not Found"))</f>
        <v/>
      </c>
      <c r="F47" t="str">
        <f>IF(C47="","",IFERROR(VLOOKUP(C47,csvratings!$A:$R,18,FALSE),"Not Found"))</f>
        <v/>
      </c>
      <c r="G47" t="str">
        <f>IF(D47="","",IFERROR(VLOOKUP(D47,csvratings!$A:$R,18,FALSE),"Not Found"))</f>
        <v/>
      </c>
      <c r="H47" s="4" t="str">
        <f t="shared" ca="1" si="1"/>
        <v/>
      </c>
    </row>
    <row r="48" spans="5:8">
      <c r="E48" t="str">
        <f>IF(B48="","",IFERROR(VLOOKUP(B48,csvratings!$A:$R,18,FALSE),"Not Found"))</f>
        <v/>
      </c>
      <c r="F48" t="str">
        <f>IF(C48="","",IFERROR(VLOOKUP(C48,csvratings!$A:$R,18,FALSE),"Not Found"))</f>
        <v/>
      </c>
      <c r="G48" t="str">
        <f>IF(D48="","",IFERROR(VLOOKUP(D48,csvratings!$A:$R,18,FALSE),"Not Found"))</f>
        <v/>
      </c>
      <c r="H48" s="4" t="str">
        <f t="shared" ca="1" si="1"/>
        <v/>
      </c>
    </row>
    <row r="49" spans="5:8">
      <c r="E49" t="str">
        <f>IF(B49="","",IFERROR(VLOOKUP(B49,csvratings!$A:$R,18,FALSE),"Not Found"))</f>
        <v/>
      </c>
      <c r="F49" t="str">
        <f>IF(C49="","",IFERROR(VLOOKUP(C49,csvratings!$A:$R,18,FALSE),"Not Found"))</f>
        <v/>
      </c>
      <c r="G49" t="str">
        <f>IF(D49="","",IFERROR(VLOOKUP(D49,csvratings!$A:$R,18,FALSE),"Not Found"))</f>
        <v/>
      </c>
      <c r="H49" s="4" t="str">
        <f t="shared" ca="1" si="1"/>
        <v/>
      </c>
    </row>
    <row r="50" spans="5:8">
      <c r="E50" t="str">
        <f>IF(B50="","",IFERROR(VLOOKUP(B50,csvratings!$A:$R,18,FALSE),"Not Found"))</f>
        <v/>
      </c>
      <c r="F50" t="str">
        <f>IF(C50="","",IFERROR(VLOOKUP(C50,csvratings!$A:$R,18,FALSE),"Not Found"))</f>
        <v/>
      </c>
      <c r="G50" t="str">
        <f>IF(D50="","",IFERROR(VLOOKUP(D50,csvratings!$A:$R,18,FALSE),"Not Found"))</f>
        <v/>
      </c>
      <c r="H50" s="4" t="str">
        <f t="shared" ca="1" si="1"/>
        <v/>
      </c>
    </row>
    <row r="51" spans="5:8">
      <c r="E51" t="str">
        <f>IF(B51="","",IFERROR(VLOOKUP(B51,csvratings!$A:$R,18,FALSE),"Not Found"))</f>
        <v/>
      </c>
      <c r="F51" t="str">
        <f>IF(C51="","",IFERROR(VLOOKUP(C51,csvratings!$A:$R,18,FALSE),"Not Found"))</f>
        <v/>
      </c>
      <c r="G51" t="str">
        <f>IF(D51="","",IFERROR(VLOOKUP(D51,csvratings!$A:$R,18,FALSE),"Not Found"))</f>
        <v/>
      </c>
      <c r="H51" s="4" t="str">
        <f t="shared" ca="1" si="1"/>
        <v/>
      </c>
    </row>
    <row r="52" spans="5:8">
      <c r="E52" t="str">
        <f>IF(B52="","",IFERROR(VLOOKUP(B52,csvratings!$A:$R,18,FALSE),"Not Found"))</f>
        <v/>
      </c>
      <c r="F52" t="str">
        <f>IF(C52="","",IFERROR(VLOOKUP(C52,csvratings!$A:$R,18,FALSE),"Not Found"))</f>
        <v/>
      </c>
      <c r="G52" t="str">
        <f>IF(D52="","",IFERROR(VLOOKUP(D52,csvratings!$A:$R,18,FALSE),"Not Found"))</f>
        <v/>
      </c>
      <c r="H52" s="4" t="str">
        <f t="shared" ca="1" si="1"/>
        <v/>
      </c>
    </row>
    <row r="53" spans="5:8">
      <c r="E53" t="str">
        <f>IF(B53="","",IFERROR(VLOOKUP(B53,csvratings!$A:$R,18,FALSE),"Not Found"))</f>
        <v/>
      </c>
      <c r="F53" t="str">
        <f>IF(C53="","",IFERROR(VLOOKUP(C53,csvratings!$A:$R,18,FALSE),"Not Found"))</f>
        <v/>
      </c>
      <c r="G53" t="str">
        <f>IF(D53="","",IFERROR(VLOOKUP(D53,csvratings!$A:$R,18,FALSE),"Not Found"))</f>
        <v/>
      </c>
      <c r="H53" s="4" t="str">
        <f t="shared" ca="1" si="1"/>
        <v/>
      </c>
    </row>
    <row r="54" spans="5:8">
      <c r="E54" t="str">
        <f>IF(B54="","",IFERROR(VLOOKUP(B54,csvratings!$A:$R,18,FALSE),"Not Found"))</f>
        <v/>
      </c>
      <c r="F54" t="str">
        <f>IF(C54="","",IFERROR(VLOOKUP(C54,csvratings!$A:$R,18,FALSE),"Not Found"))</f>
        <v/>
      </c>
      <c r="G54" t="str">
        <f>IF(D54="","",IFERROR(VLOOKUP(D54,csvratings!$A:$R,18,FALSE),"Not Found"))</f>
        <v/>
      </c>
      <c r="H54" s="4" t="str">
        <f t="shared" ca="1" si="1"/>
        <v/>
      </c>
    </row>
    <row r="55" spans="5:8">
      <c r="E55" t="str">
        <f>IF(B55="","",IFERROR(VLOOKUP(B55,csvratings!$A:$R,18,FALSE),"Not Found"))</f>
        <v/>
      </c>
      <c r="F55" t="str">
        <f>IF(C55="","",IFERROR(VLOOKUP(C55,csvratings!$A:$R,18,FALSE),"Not Found"))</f>
        <v/>
      </c>
      <c r="G55" t="str">
        <f>IF(D55="","",IFERROR(VLOOKUP(D55,csvratings!$A:$R,18,FALSE),"Not Found"))</f>
        <v/>
      </c>
      <c r="H55" s="4" t="str">
        <f t="shared" ca="1" si="1"/>
        <v/>
      </c>
    </row>
    <row r="56" spans="5:8">
      <c r="E56" t="str">
        <f>IF(B56="","",IFERROR(VLOOKUP(B56,csvratings!$A:$R,18,FALSE),"Not Found"))</f>
        <v/>
      </c>
      <c r="F56" t="str">
        <f>IF(C56="","",IFERROR(VLOOKUP(C56,csvratings!$A:$R,18,FALSE),"Not Found"))</f>
        <v/>
      </c>
      <c r="G56" t="str">
        <f>IF(D56="","",IFERROR(VLOOKUP(D56,csvratings!$A:$R,18,FALSE),"Not Found"))</f>
        <v/>
      </c>
      <c r="H56" s="4" t="str">
        <f t="shared" ca="1" si="1"/>
        <v/>
      </c>
    </row>
    <row r="57" spans="5:8">
      <c r="E57" t="str">
        <f>IF(B57="","",IFERROR(VLOOKUP(B57,csvratings!$A:$R,18,FALSE),"Not Found"))</f>
        <v/>
      </c>
      <c r="F57" t="str">
        <f>IF(C57="","",IFERROR(VLOOKUP(C57,csvratings!$A:$R,18,FALSE),"Not Found"))</f>
        <v/>
      </c>
      <c r="G57" t="str">
        <f>IF(D57="","",IFERROR(VLOOKUP(D57,csvratings!$A:$R,18,FALSE),"Not Found"))</f>
        <v/>
      </c>
      <c r="H57" s="4" t="str">
        <f t="shared" ca="1" si="1"/>
        <v/>
      </c>
    </row>
    <row r="58" spans="5:8">
      <c r="E58" t="str">
        <f>IF(B58="","",IFERROR(VLOOKUP(B58,csvratings!$A:$R,18,FALSE),"Not Found"))</f>
        <v/>
      </c>
      <c r="F58" t="str">
        <f>IF(C58="","",IFERROR(VLOOKUP(C58,csvratings!$A:$R,18,FALSE),"Not Found"))</f>
        <v/>
      </c>
      <c r="G58" t="str">
        <f>IF(D58="","",IFERROR(VLOOKUP(D58,csvratings!$A:$R,18,FALSE),"Not Found"))</f>
        <v/>
      </c>
      <c r="H58" s="4" t="str">
        <f t="shared" ca="1" si="1"/>
        <v/>
      </c>
    </row>
    <row r="59" spans="5:8">
      <c r="E59" t="str">
        <f>IF(B59="","",IFERROR(VLOOKUP(B59,csvratings!$A:$R,18,FALSE),"Not Found"))</f>
        <v/>
      </c>
      <c r="F59" t="str">
        <f>IF(C59="","",IFERROR(VLOOKUP(C59,csvratings!$A:$R,18,FALSE),"Not Found"))</f>
        <v/>
      </c>
      <c r="G59" t="str">
        <f>IF(D59="","",IFERROR(VLOOKUP(D59,csvratings!$A:$R,18,FALSE),"Not Found"))</f>
        <v/>
      </c>
      <c r="H59" s="4" t="str">
        <f t="shared" ca="1" si="1"/>
        <v/>
      </c>
    </row>
    <row r="60" spans="5:8">
      <c r="E60" t="str">
        <f>IF(B60="","",IFERROR(VLOOKUP(B60,csvratings!$A:$R,18,FALSE),"Not Found"))</f>
        <v/>
      </c>
      <c r="F60" t="str">
        <f>IF(C60="","",IFERROR(VLOOKUP(C60,csvratings!$A:$R,18,FALSE),"Not Found"))</f>
        <v/>
      </c>
      <c r="G60" t="str">
        <f>IF(D60="","",IFERROR(VLOOKUP(D60,csvratings!$A:$R,18,FALSE),"Not Found"))</f>
        <v/>
      </c>
      <c r="H60" s="4" t="str">
        <f t="shared" ca="1" si="1"/>
        <v/>
      </c>
    </row>
    <row r="61" spans="5:8">
      <c r="E61" t="str">
        <f>IF(B61="","",IFERROR(VLOOKUP(B61,csvratings!$A:$R,18,FALSE),"Not Found"))</f>
        <v/>
      </c>
      <c r="F61" t="str">
        <f>IF(C61="","",IFERROR(VLOOKUP(C61,csvratings!$A:$R,18,FALSE),"Not Found"))</f>
        <v/>
      </c>
      <c r="G61" t="str">
        <f>IF(D61="","",IFERROR(VLOOKUP(D61,csvratings!$A:$R,18,FALSE),"Not Found"))</f>
        <v/>
      </c>
      <c r="H61" s="4" t="str">
        <f t="shared" ca="1" si="1"/>
        <v/>
      </c>
    </row>
    <row r="62" spans="5:8">
      <c r="E62" t="str">
        <f>IF(B62="","",IFERROR(VLOOKUP(B62,csvratings!$A:$R,18,FALSE),"Not Found"))</f>
        <v/>
      </c>
      <c r="F62" t="str">
        <f>IF(C62="","",IFERROR(VLOOKUP(C62,csvratings!$A:$R,18,FALSE),"Not Found"))</f>
        <v/>
      </c>
      <c r="G62" t="str">
        <f>IF(D62="","",IFERROR(VLOOKUP(D62,csvratings!$A:$R,18,FALSE),"Not Found"))</f>
        <v/>
      </c>
      <c r="H62" s="4" t="str">
        <f t="shared" ca="1" si="1"/>
        <v/>
      </c>
    </row>
    <row r="63" spans="5:8">
      <c r="E63" t="str">
        <f>IF(B63="","",IFERROR(VLOOKUP(B63,csvratings!$A:$R,18,FALSE),"Not Found"))</f>
        <v/>
      </c>
      <c r="F63" t="str">
        <f>IF(C63="","",IFERROR(VLOOKUP(C63,csvratings!$A:$R,18,FALSE),"Not Found"))</f>
        <v/>
      </c>
      <c r="G63" t="str">
        <f>IF(D63="","",IFERROR(VLOOKUP(D63,csvratings!$A:$R,18,FALSE),"Not Found"))</f>
        <v/>
      </c>
      <c r="H63" s="4" t="str">
        <f t="shared" ca="1" si="1"/>
        <v/>
      </c>
    </row>
    <row r="64" spans="5:8">
      <c r="E64" t="str">
        <f>IF(B64="","",IFERROR(VLOOKUP(B64,csvratings!$A:$R,18,FALSE),"Not Found"))</f>
        <v/>
      </c>
      <c r="F64" t="str">
        <f>IF(C64="","",IFERROR(VLOOKUP(C64,csvratings!$A:$R,18,FALSE),"Not Found"))</f>
        <v/>
      </c>
      <c r="G64" t="str">
        <f>IF(D64="","",IFERROR(VLOOKUP(D64,csvratings!$A:$R,18,FALSE),"Not Found"))</f>
        <v/>
      </c>
      <c r="H64" s="4" t="str">
        <f t="shared" ca="1" si="1"/>
        <v/>
      </c>
    </row>
    <row r="65" spans="5:8">
      <c r="E65" t="str">
        <f>IF(B65="","",IFERROR(VLOOKUP(B65,csvratings!$A:$R,18,FALSE),"Not Found"))</f>
        <v/>
      </c>
      <c r="F65" t="str">
        <f>IF(C65="","",IFERROR(VLOOKUP(C65,csvratings!$A:$R,18,FALSE),"Not Found"))</f>
        <v/>
      </c>
      <c r="G65" t="str">
        <f>IF(D65="","",IFERROR(VLOOKUP(D65,csvratings!$A:$R,18,FALSE),"Not Found"))</f>
        <v/>
      </c>
      <c r="H65" s="4" t="str">
        <f t="shared" ca="1" si="1"/>
        <v/>
      </c>
    </row>
    <row r="66" spans="5:8">
      <c r="E66" t="str">
        <f>IF(B66="","",IFERROR(VLOOKUP(B66,csvratings!$A:$R,18,FALSE),"Not Found"))</f>
        <v/>
      </c>
      <c r="F66" t="str">
        <f>IF(C66="","",IFERROR(VLOOKUP(C66,csvratings!$A:$R,18,FALSE),"Not Found"))</f>
        <v/>
      </c>
      <c r="G66" t="str">
        <f>IF(D66="","",IFERROR(VLOOKUP(D66,csvratings!$A:$R,18,FALSE),"Not Found"))</f>
        <v/>
      </c>
      <c r="H66" s="4" t="str">
        <f t="shared" ca="1" si="1"/>
        <v/>
      </c>
    </row>
    <row r="67" spans="5:8">
      <c r="E67" t="str">
        <f>IF(B67="","",IFERROR(VLOOKUP(B67,csvratings!$A:$R,18,FALSE),"Not Found"))</f>
        <v/>
      </c>
      <c r="F67" t="str">
        <f>IF(C67="","",IFERROR(VLOOKUP(C67,csvratings!$A:$R,18,FALSE),"Not Found"))</f>
        <v/>
      </c>
      <c r="G67" t="str">
        <f>IF(D67="","",IFERROR(VLOOKUP(D67,csvratings!$A:$R,18,FALSE),"Not Found"))</f>
        <v/>
      </c>
      <c r="H67" s="4" t="str">
        <f t="shared" ref="H67:H130" ca="1" si="2">IF(AND(B67&lt;&gt;"",C67&lt;&gt;"",D67&lt;&gt;""),TODAY(),"")</f>
        <v/>
      </c>
    </row>
    <row r="68" spans="5:8">
      <c r="E68" t="str">
        <f>IF(B68="","",IFERROR(VLOOKUP(B68,csvratings!$A:$R,18,FALSE),"Not Found"))</f>
        <v/>
      </c>
      <c r="F68" t="str">
        <f>IF(C68="","",IFERROR(VLOOKUP(C68,csvratings!$A:$R,18,FALSE),"Not Found"))</f>
        <v/>
      </c>
      <c r="G68" t="str">
        <f>IF(D68="","",IFERROR(VLOOKUP(D68,csvratings!$A:$R,18,FALSE),"Not Found"))</f>
        <v/>
      </c>
      <c r="H68" s="4" t="str">
        <f t="shared" ca="1" si="2"/>
        <v/>
      </c>
    </row>
    <row r="69" spans="5:8">
      <c r="E69" t="str">
        <f>IF(B69="","",IFERROR(VLOOKUP(B69,csvratings!$A:$R,18,FALSE),"Not Found"))</f>
        <v/>
      </c>
      <c r="F69" t="str">
        <f>IF(C69="","",IFERROR(VLOOKUP(C69,csvratings!$A:$R,18,FALSE),"Not Found"))</f>
        <v/>
      </c>
      <c r="G69" t="str">
        <f>IF(D69="","",IFERROR(VLOOKUP(D69,csvratings!$A:$R,18,FALSE),"Not Found"))</f>
        <v/>
      </c>
      <c r="H69" s="4" t="str">
        <f t="shared" ca="1" si="2"/>
        <v/>
      </c>
    </row>
    <row r="70" spans="5:8">
      <c r="E70" t="str">
        <f>IF(B70="","",IFERROR(VLOOKUP(B70,csvratings!$A:$R,18,FALSE),"Not Found"))</f>
        <v/>
      </c>
      <c r="F70" t="str">
        <f>IF(C70="","",IFERROR(VLOOKUP(C70,csvratings!$A:$R,18,FALSE),"Not Found"))</f>
        <v/>
      </c>
      <c r="G70" t="str">
        <f>IF(D70="","",IFERROR(VLOOKUP(D70,csvratings!$A:$R,18,FALSE),"Not Found"))</f>
        <v/>
      </c>
      <c r="H70" s="4" t="str">
        <f t="shared" ca="1" si="2"/>
        <v/>
      </c>
    </row>
    <row r="71" spans="5:8">
      <c r="E71" t="str">
        <f>IF(B71="","",IFERROR(VLOOKUP(B71,csvratings!$A:$R,18,FALSE),"Not Found"))</f>
        <v/>
      </c>
      <c r="F71" t="str">
        <f>IF(C71="","",IFERROR(VLOOKUP(C71,csvratings!$A:$R,18,FALSE),"Not Found"))</f>
        <v/>
      </c>
      <c r="G71" t="str">
        <f>IF(D71="","",IFERROR(VLOOKUP(D71,csvratings!$A:$R,18,FALSE),"Not Found"))</f>
        <v/>
      </c>
      <c r="H71" s="4" t="str">
        <f t="shared" ca="1" si="2"/>
        <v/>
      </c>
    </row>
    <row r="72" spans="5:8">
      <c r="E72" t="str">
        <f>IF(B72="","",IFERROR(VLOOKUP(B72,csvratings!$A:$R,18,FALSE),"Not Found"))</f>
        <v/>
      </c>
      <c r="F72" t="str">
        <f>IF(C72="","",IFERROR(VLOOKUP(C72,csvratings!$A:$R,18,FALSE),"Not Found"))</f>
        <v/>
      </c>
      <c r="G72" t="str">
        <f>IF(D72="","",IFERROR(VLOOKUP(D72,csvratings!$A:$R,18,FALSE),"Not Found"))</f>
        <v/>
      </c>
      <c r="H72" s="4" t="str">
        <f t="shared" ca="1" si="2"/>
        <v/>
      </c>
    </row>
    <row r="73" spans="5:8">
      <c r="E73" t="str">
        <f>IF(B73="","",IFERROR(VLOOKUP(B73,csvratings!$A:$R,18,FALSE),"Not Found"))</f>
        <v/>
      </c>
      <c r="F73" t="str">
        <f>IF(C73="","",IFERROR(VLOOKUP(C73,csvratings!$A:$R,18,FALSE),"Not Found"))</f>
        <v/>
      </c>
      <c r="G73" t="str">
        <f>IF(D73="","",IFERROR(VLOOKUP(D73,csvratings!$A:$R,18,FALSE),"Not Found"))</f>
        <v/>
      </c>
      <c r="H73" s="4" t="str">
        <f t="shared" ca="1" si="2"/>
        <v/>
      </c>
    </row>
    <row r="74" spans="5:8">
      <c r="E74" t="str">
        <f>IF(B74="","",IFERROR(VLOOKUP(B74,csvratings!$A:$R,18,FALSE),"Not Found"))</f>
        <v/>
      </c>
      <c r="F74" t="str">
        <f>IF(C74="","",IFERROR(VLOOKUP(C74,csvratings!$A:$R,18,FALSE),"Not Found"))</f>
        <v/>
      </c>
      <c r="G74" t="str">
        <f>IF(D74="","",IFERROR(VLOOKUP(D74,csvratings!$A:$R,18,FALSE),"Not Found"))</f>
        <v/>
      </c>
      <c r="H74" s="4" t="str">
        <f t="shared" ca="1" si="2"/>
        <v/>
      </c>
    </row>
    <row r="75" spans="5:8">
      <c r="E75" t="str">
        <f>IF(B75="","",IFERROR(VLOOKUP(B75,csvratings!$A:$R,18,FALSE),"Not Found"))</f>
        <v/>
      </c>
      <c r="F75" t="str">
        <f>IF(C75="","",IFERROR(VLOOKUP(C75,csvratings!$A:$R,18,FALSE),"Not Found"))</f>
        <v/>
      </c>
      <c r="G75" t="str">
        <f>IF(D75="","",IFERROR(VLOOKUP(D75,csvratings!$A:$R,18,FALSE),"Not Found"))</f>
        <v/>
      </c>
      <c r="H75" s="4" t="str">
        <f t="shared" ca="1" si="2"/>
        <v/>
      </c>
    </row>
    <row r="76" spans="5:8">
      <c r="E76" t="str">
        <f>IF(B76="","",IFERROR(VLOOKUP(B76,csvratings!$A:$R,18,FALSE),"Not Found"))</f>
        <v/>
      </c>
      <c r="F76" t="str">
        <f>IF(C76="","",IFERROR(VLOOKUP(C76,csvratings!$A:$R,18,FALSE),"Not Found"))</f>
        <v/>
      </c>
      <c r="G76" t="str">
        <f>IF(D76="","",IFERROR(VLOOKUP(D76,csvratings!$A:$R,18,FALSE),"Not Found"))</f>
        <v/>
      </c>
      <c r="H76" s="4" t="str">
        <f t="shared" ca="1" si="2"/>
        <v/>
      </c>
    </row>
    <row r="77" spans="5:8">
      <c r="E77" t="str">
        <f>IF(B77="","",IFERROR(VLOOKUP(B77,csvratings!$A:$R,18,FALSE),"Not Found"))</f>
        <v/>
      </c>
      <c r="F77" t="str">
        <f>IF(C77="","",IFERROR(VLOOKUP(C77,csvratings!$A:$R,18,FALSE),"Not Found"))</f>
        <v/>
      </c>
      <c r="G77" t="str">
        <f>IF(D77="","",IFERROR(VLOOKUP(D77,csvratings!$A:$R,18,FALSE),"Not Found"))</f>
        <v/>
      </c>
      <c r="H77" s="4" t="str">
        <f t="shared" ca="1" si="2"/>
        <v/>
      </c>
    </row>
    <row r="78" spans="5:8">
      <c r="E78" t="str">
        <f>IF(B78="","",IFERROR(VLOOKUP(B78,csvratings!$A:$R,18,FALSE),"Not Found"))</f>
        <v/>
      </c>
      <c r="F78" t="str">
        <f>IF(C78="","",IFERROR(VLOOKUP(C78,csvratings!$A:$R,18,FALSE),"Not Found"))</f>
        <v/>
      </c>
      <c r="G78" t="str">
        <f>IF(D78="","",IFERROR(VLOOKUP(D78,csvratings!$A:$R,18,FALSE),"Not Found"))</f>
        <v/>
      </c>
      <c r="H78" s="4" t="str">
        <f t="shared" ca="1" si="2"/>
        <v/>
      </c>
    </row>
    <row r="79" spans="5:8">
      <c r="E79" t="str">
        <f>IF(B79="","",IFERROR(VLOOKUP(B79,csvratings!$A:$R,18,FALSE),"Not Found"))</f>
        <v/>
      </c>
      <c r="F79" t="str">
        <f>IF(C79="","",IFERROR(VLOOKUP(C79,csvratings!$A:$R,18,FALSE),"Not Found"))</f>
        <v/>
      </c>
      <c r="G79" t="str">
        <f>IF(D79="","",IFERROR(VLOOKUP(D79,csvratings!$A:$R,18,FALSE),"Not Found"))</f>
        <v/>
      </c>
      <c r="H79" s="4" t="str">
        <f t="shared" ca="1" si="2"/>
        <v/>
      </c>
    </row>
    <row r="80" spans="5:8">
      <c r="E80" t="str">
        <f>IF(B80="","",IFERROR(VLOOKUP(B80,csvratings!$A:$R,18,FALSE),"Not Found"))</f>
        <v/>
      </c>
      <c r="F80" t="str">
        <f>IF(C80="","",IFERROR(VLOOKUP(C80,csvratings!$A:$R,18,FALSE),"Not Found"))</f>
        <v/>
      </c>
      <c r="G80" t="str">
        <f>IF(D80="","",IFERROR(VLOOKUP(D80,csvratings!$A:$R,18,FALSE),"Not Found"))</f>
        <v/>
      </c>
      <c r="H80" s="4" t="str">
        <f t="shared" ca="1" si="2"/>
        <v/>
      </c>
    </row>
    <row r="81" spans="5:8">
      <c r="E81" t="str">
        <f>IF(B81="","",IFERROR(VLOOKUP(B81,csvratings!$A:$R,18,FALSE),"Not Found"))</f>
        <v/>
      </c>
      <c r="F81" t="str">
        <f>IF(C81="","",IFERROR(VLOOKUP(C81,csvratings!$A:$R,18,FALSE),"Not Found"))</f>
        <v/>
      </c>
      <c r="G81" t="str">
        <f>IF(D81="","",IFERROR(VLOOKUP(D81,csvratings!$A:$R,18,FALSE),"Not Found"))</f>
        <v/>
      </c>
      <c r="H81" s="4" t="str">
        <f t="shared" ca="1" si="2"/>
        <v/>
      </c>
    </row>
    <row r="82" spans="5:8">
      <c r="E82" t="str">
        <f>IF(B82="","",IFERROR(VLOOKUP(B82,csvratings!$A:$R,18,FALSE),"Not Found"))</f>
        <v/>
      </c>
      <c r="F82" t="str">
        <f>IF(C82="","",IFERROR(VLOOKUP(C82,csvratings!$A:$R,18,FALSE),"Not Found"))</f>
        <v/>
      </c>
      <c r="G82" t="str">
        <f>IF(D82="","",IFERROR(VLOOKUP(D82,csvratings!$A:$R,18,FALSE),"Not Found"))</f>
        <v/>
      </c>
      <c r="H82" s="4" t="str">
        <f t="shared" ca="1" si="2"/>
        <v/>
      </c>
    </row>
    <row r="83" spans="5:8">
      <c r="E83" t="str">
        <f>IF(B83="","",IFERROR(VLOOKUP(B83,csvratings!$A:$R,18,FALSE),"Not Found"))</f>
        <v/>
      </c>
      <c r="F83" t="str">
        <f>IF(C83="","",IFERROR(VLOOKUP(C83,csvratings!$A:$R,18,FALSE),"Not Found"))</f>
        <v/>
      </c>
      <c r="G83" t="str">
        <f>IF(D83="","",IFERROR(VLOOKUP(D83,csvratings!$A:$R,18,FALSE),"Not Found"))</f>
        <v/>
      </c>
      <c r="H83" s="4" t="str">
        <f t="shared" ca="1" si="2"/>
        <v/>
      </c>
    </row>
    <row r="84" spans="5:8">
      <c r="E84" t="str">
        <f>IF(B84="","",IFERROR(VLOOKUP(B84,csvratings!$A:$R,18,FALSE),"Not Found"))</f>
        <v/>
      </c>
      <c r="F84" t="str">
        <f>IF(C84="","",IFERROR(VLOOKUP(C84,csvratings!$A:$R,18,FALSE),"Not Found"))</f>
        <v/>
      </c>
      <c r="G84" t="str">
        <f>IF(D84="","",IFERROR(VLOOKUP(D84,csvratings!$A:$R,18,FALSE),"Not Found"))</f>
        <v/>
      </c>
      <c r="H84" s="4" t="str">
        <f t="shared" ca="1" si="2"/>
        <v/>
      </c>
    </row>
    <row r="85" spans="5:8">
      <c r="E85" t="str">
        <f>IF(B85="","",IFERROR(VLOOKUP(B85,csvratings!$A:$R,18,FALSE),"Not Found"))</f>
        <v/>
      </c>
      <c r="F85" t="str">
        <f>IF(C85="","",IFERROR(VLOOKUP(C85,csvratings!$A:$R,18,FALSE),"Not Found"))</f>
        <v/>
      </c>
      <c r="G85" t="str">
        <f>IF(D85="","",IFERROR(VLOOKUP(D85,csvratings!$A:$R,18,FALSE),"Not Found"))</f>
        <v/>
      </c>
      <c r="H85" s="4" t="str">
        <f t="shared" ca="1" si="2"/>
        <v/>
      </c>
    </row>
    <row r="86" spans="5:8">
      <c r="E86" t="str">
        <f>IF(B86="","",IFERROR(VLOOKUP(B86,csvratings!$A:$R,18,FALSE),"Not Found"))</f>
        <v/>
      </c>
      <c r="F86" t="str">
        <f>IF(C86="","",IFERROR(VLOOKUP(C86,csvratings!$A:$R,18,FALSE),"Not Found"))</f>
        <v/>
      </c>
      <c r="G86" t="str">
        <f>IF(D86="","",IFERROR(VLOOKUP(D86,csvratings!$A:$R,18,FALSE),"Not Found"))</f>
        <v/>
      </c>
      <c r="H86" s="4" t="str">
        <f t="shared" ca="1" si="2"/>
        <v/>
      </c>
    </row>
    <row r="87" spans="5:8">
      <c r="E87" t="str">
        <f>IF(B87="","",IFERROR(VLOOKUP(B87,csvratings!$A:$R,18,FALSE),"Not Found"))</f>
        <v/>
      </c>
      <c r="F87" t="str">
        <f>IF(C87="","",IFERROR(VLOOKUP(C87,csvratings!$A:$R,18,FALSE),"Not Found"))</f>
        <v/>
      </c>
      <c r="G87" t="str">
        <f>IF(D87="","",IFERROR(VLOOKUP(D87,csvratings!$A:$R,18,FALSE),"Not Found"))</f>
        <v/>
      </c>
      <c r="H87" s="4" t="str">
        <f t="shared" ca="1" si="2"/>
        <v/>
      </c>
    </row>
    <row r="88" spans="5:8">
      <c r="E88" t="str">
        <f>IF(B88="","",IFERROR(VLOOKUP(B88,csvratings!$A:$R,18,FALSE),"Not Found"))</f>
        <v/>
      </c>
      <c r="F88" t="str">
        <f>IF(C88="","",IFERROR(VLOOKUP(C88,csvratings!$A:$R,18,FALSE),"Not Found"))</f>
        <v/>
      </c>
      <c r="G88" t="str">
        <f>IF(D88="","",IFERROR(VLOOKUP(D88,csvratings!$A:$R,18,FALSE),"Not Found"))</f>
        <v/>
      </c>
      <c r="H88" s="4" t="str">
        <f t="shared" ca="1" si="2"/>
        <v/>
      </c>
    </row>
    <row r="89" spans="5:8">
      <c r="E89" t="str">
        <f>IF(B89="","",IFERROR(VLOOKUP(B89,csvratings!$A:$R,18,FALSE),"Not Found"))</f>
        <v/>
      </c>
      <c r="F89" t="str">
        <f>IF(C89="","",IFERROR(VLOOKUP(C89,csvratings!$A:$R,18,FALSE),"Not Found"))</f>
        <v/>
      </c>
      <c r="G89" t="str">
        <f>IF(D89="","",IFERROR(VLOOKUP(D89,csvratings!$A:$R,18,FALSE),"Not Found"))</f>
        <v/>
      </c>
      <c r="H89" s="4" t="str">
        <f t="shared" ca="1" si="2"/>
        <v/>
      </c>
    </row>
    <row r="90" spans="5:8">
      <c r="E90" t="str">
        <f>IF(B90="","",IFERROR(VLOOKUP(B90,csvratings!$A:$R,18,FALSE),"Not Found"))</f>
        <v/>
      </c>
      <c r="F90" t="str">
        <f>IF(C90="","",IFERROR(VLOOKUP(C90,csvratings!$A:$R,18,FALSE),"Not Found"))</f>
        <v/>
      </c>
      <c r="G90" t="str">
        <f>IF(D90="","",IFERROR(VLOOKUP(D90,csvratings!$A:$R,18,FALSE),"Not Found"))</f>
        <v/>
      </c>
      <c r="H90" s="4" t="str">
        <f t="shared" ca="1" si="2"/>
        <v/>
      </c>
    </row>
    <row r="91" spans="5:8">
      <c r="E91" t="str">
        <f>IF(B91="","",IFERROR(VLOOKUP(B91,csvratings!$A:$R,18,FALSE),"Not Found"))</f>
        <v/>
      </c>
      <c r="F91" t="str">
        <f>IF(C91="","",IFERROR(VLOOKUP(C91,csvratings!$A:$R,18,FALSE),"Not Found"))</f>
        <v/>
      </c>
      <c r="G91" t="str">
        <f>IF(D91="","",IFERROR(VLOOKUP(D91,csvratings!$A:$R,18,FALSE),"Not Found"))</f>
        <v/>
      </c>
      <c r="H91" s="4" t="str">
        <f t="shared" ca="1" si="2"/>
        <v/>
      </c>
    </row>
    <row r="92" spans="5:8">
      <c r="E92" t="str">
        <f>IF(B92="","",IFERROR(VLOOKUP(B92,csvratings!$A:$R,18,FALSE),"Not Found"))</f>
        <v/>
      </c>
      <c r="F92" t="str">
        <f>IF(C92="","",IFERROR(VLOOKUP(C92,csvratings!$A:$R,18,FALSE),"Not Found"))</f>
        <v/>
      </c>
      <c r="G92" t="str">
        <f>IF(D92="","",IFERROR(VLOOKUP(D92,csvratings!$A:$R,18,FALSE),"Not Found"))</f>
        <v/>
      </c>
      <c r="H92" s="4" t="str">
        <f t="shared" ca="1" si="2"/>
        <v/>
      </c>
    </row>
    <row r="93" spans="5:8">
      <c r="E93" t="str">
        <f>IF(B93="","",IFERROR(VLOOKUP(B93,csvratings!$A:$R,18,FALSE),"Not Found"))</f>
        <v/>
      </c>
      <c r="F93" t="str">
        <f>IF(C93="","",IFERROR(VLOOKUP(C93,csvratings!$A:$R,18,FALSE),"Not Found"))</f>
        <v/>
      </c>
      <c r="G93" t="str">
        <f>IF(D93="","",IFERROR(VLOOKUP(D93,csvratings!$A:$R,18,FALSE),"Not Found"))</f>
        <v/>
      </c>
      <c r="H93" s="4" t="str">
        <f t="shared" ca="1" si="2"/>
        <v/>
      </c>
    </row>
    <row r="94" spans="5:8">
      <c r="E94" t="str">
        <f>IF(B94="","",IFERROR(VLOOKUP(B94,csvratings!$A:$R,18,FALSE),"Not Found"))</f>
        <v/>
      </c>
      <c r="F94" t="str">
        <f>IF(C94="","",IFERROR(VLOOKUP(C94,csvratings!$A:$R,18,FALSE),"Not Found"))</f>
        <v/>
      </c>
      <c r="G94" t="str">
        <f>IF(D94="","",IFERROR(VLOOKUP(D94,csvratings!$A:$R,18,FALSE),"Not Found"))</f>
        <v/>
      </c>
      <c r="H94" s="4" t="str">
        <f t="shared" ca="1" si="2"/>
        <v/>
      </c>
    </row>
    <row r="95" spans="5:8">
      <c r="E95" t="str">
        <f>IF(B95="","",IFERROR(VLOOKUP(B95,csvratings!$A:$R,18,FALSE),"Not Found"))</f>
        <v/>
      </c>
      <c r="F95" t="str">
        <f>IF(C95="","",IFERROR(VLOOKUP(C95,csvratings!$A:$R,18,FALSE),"Not Found"))</f>
        <v/>
      </c>
      <c r="G95" t="str">
        <f>IF(D95="","",IFERROR(VLOOKUP(D95,csvratings!$A:$R,18,FALSE),"Not Found"))</f>
        <v/>
      </c>
      <c r="H95" s="4" t="str">
        <f t="shared" ca="1" si="2"/>
        <v/>
      </c>
    </row>
    <row r="96" spans="5:8">
      <c r="E96" t="str">
        <f>IF(B96="","",IFERROR(VLOOKUP(B96,csvratings!$A:$R,18,FALSE),"Not Found"))</f>
        <v/>
      </c>
      <c r="F96" t="str">
        <f>IF(C96="","",IFERROR(VLOOKUP(C96,csvratings!$A:$R,18,FALSE),"Not Found"))</f>
        <v/>
      </c>
      <c r="G96" t="str">
        <f>IF(D96="","",IFERROR(VLOOKUP(D96,csvratings!$A:$R,18,FALSE),"Not Found"))</f>
        <v/>
      </c>
      <c r="H96" s="4" t="str">
        <f t="shared" ca="1" si="2"/>
        <v/>
      </c>
    </row>
    <row r="97" spans="5:8">
      <c r="E97" t="str">
        <f>IF(B97="","",IFERROR(VLOOKUP(B97,csvratings!$A:$R,18,FALSE),"Not Found"))</f>
        <v/>
      </c>
      <c r="F97" t="str">
        <f>IF(C97="","",IFERROR(VLOOKUP(C97,csvratings!$A:$R,18,FALSE),"Not Found"))</f>
        <v/>
      </c>
      <c r="G97" t="str">
        <f>IF(D97="","",IFERROR(VLOOKUP(D97,csvratings!$A:$R,18,FALSE),"Not Found"))</f>
        <v/>
      </c>
      <c r="H97" s="4" t="str">
        <f t="shared" ca="1" si="2"/>
        <v/>
      </c>
    </row>
    <row r="98" spans="5:8">
      <c r="E98" t="str">
        <f>IF(B98="","",IFERROR(VLOOKUP(B98,csvratings!$A:$R,18,FALSE),"Not Found"))</f>
        <v/>
      </c>
      <c r="F98" t="str">
        <f>IF(C98="","",IFERROR(VLOOKUP(C98,csvratings!$A:$R,18,FALSE),"Not Found"))</f>
        <v/>
      </c>
      <c r="G98" t="str">
        <f>IF(D98="","",IFERROR(VLOOKUP(D98,csvratings!$A:$R,18,FALSE),"Not Found"))</f>
        <v/>
      </c>
      <c r="H98" s="4" t="str">
        <f t="shared" ca="1" si="2"/>
        <v/>
      </c>
    </row>
    <row r="99" spans="5:8">
      <c r="E99" t="str">
        <f>IF(B99="","",IFERROR(VLOOKUP(B99,csvratings!$A:$R,18,FALSE),"Not Found"))</f>
        <v/>
      </c>
      <c r="F99" t="str">
        <f>IF(C99="","",IFERROR(VLOOKUP(C99,csvratings!$A:$R,18,FALSE),"Not Found"))</f>
        <v/>
      </c>
      <c r="G99" t="str">
        <f>IF(D99="","",IFERROR(VLOOKUP(D99,csvratings!$A:$R,18,FALSE),"Not Found"))</f>
        <v/>
      </c>
      <c r="H99" s="4" t="str">
        <f t="shared" ca="1" si="2"/>
        <v/>
      </c>
    </row>
    <row r="100" spans="5:8">
      <c r="E100" t="str">
        <f>IF(B100="","",IFERROR(VLOOKUP(B100,csvratings!$A:$R,18,FALSE),"Not Found"))</f>
        <v/>
      </c>
      <c r="F100" t="str">
        <f>IF(C100="","",IFERROR(VLOOKUP(C100,csvratings!$A:$R,18,FALSE),"Not Found"))</f>
        <v/>
      </c>
      <c r="G100" t="str">
        <f>IF(D100="","",IFERROR(VLOOKUP(D100,csvratings!$A:$R,18,FALSE),"Not Found"))</f>
        <v/>
      </c>
      <c r="H100" s="4" t="str">
        <f t="shared" ca="1" si="2"/>
        <v/>
      </c>
    </row>
    <row r="101" spans="5:8">
      <c r="E101" t="str">
        <f>IF(B101="","",IFERROR(VLOOKUP(B101,csvratings!$A:$R,18,FALSE),"Not Found"))</f>
        <v/>
      </c>
      <c r="F101" t="str">
        <f>IF(C101="","",IFERROR(VLOOKUP(C101,csvratings!$A:$R,18,FALSE),"Not Found"))</f>
        <v/>
      </c>
      <c r="G101" t="str">
        <f>IF(D101="","",IFERROR(VLOOKUP(D101,csvratings!$A:$R,18,FALSE),"Not Found"))</f>
        <v/>
      </c>
      <c r="H101" s="4" t="str">
        <f t="shared" ca="1" si="2"/>
        <v/>
      </c>
    </row>
    <row r="102" spans="5:8">
      <c r="E102" t="str">
        <f>IF(B102="","",IFERROR(VLOOKUP(B102,csvratings!$A:$R,18,FALSE),"Not Found"))</f>
        <v/>
      </c>
      <c r="F102" t="str">
        <f>IF(C102="","",IFERROR(VLOOKUP(C102,csvratings!$A:$R,18,FALSE),"Not Found"))</f>
        <v/>
      </c>
      <c r="G102" t="str">
        <f>IF(D102="","",IFERROR(VLOOKUP(D102,csvratings!$A:$R,18,FALSE),"Not Found"))</f>
        <v/>
      </c>
      <c r="H102" s="4" t="str">
        <f t="shared" ca="1" si="2"/>
        <v/>
      </c>
    </row>
    <row r="103" spans="5:8">
      <c r="E103" t="str">
        <f>IF(B103="","",IFERROR(VLOOKUP(B103,csvratings!$A:$R,18,FALSE),"Not Found"))</f>
        <v/>
      </c>
      <c r="F103" t="str">
        <f>IF(C103="","",IFERROR(VLOOKUP(C103,csvratings!$A:$R,18,FALSE),"Not Found"))</f>
        <v/>
      </c>
      <c r="G103" t="str">
        <f>IF(D103="","",IFERROR(VLOOKUP(D103,csvratings!$A:$R,18,FALSE),"Not Found"))</f>
        <v/>
      </c>
      <c r="H103" s="4" t="str">
        <f t="shared" ca="1" si="2"/>
        <v/>
      </c>
    </row>
    <row r="104" spans="5:8">
      <c r="E104" t="str">
        <f>IF(B104="","",IFERROR(VLOOKUP(B104,csvratings!$A:$R,18,FALSE),"Not Found"))</f>
        <v/>
      </c>
      <c r="F104" t="str">
        <f>IF(C104="","",IFERROR(VLOOKUP(C104,csvratings!$A:$R,18,FALSE),"Not Found"))</f>
        <v/>
      </c>
      <c r="G104" t="str">
        <f>IF(D104="","",IFERROR(VLOOKUP(D104,csvratings!$A:$R,18,FALSE),"Not Found"))</f>
        <v/>
      </c>
      <c r="H104" s="4" t="str">
        <f t="shared" ca="1" si="2"/>
        <v/>
      </c>
    </row>
    <row r="105" spans="5:8">
      <c r="E105" t="str">
        <f>IF(B105="","",IFERROR(VLOOKUP(B105,csvratings!$A:$R,18,FALSE),"Not Found"))</f>
        <v/>
      </c>
      <c r="F105" t="str">
        <f>IF(C105="","",IFERROR(VLOOKUP(C105,csvratings!$A:$R,18,FALSE),"Not Found"))</f>
        <v/>
      </c>
      <c r="G105" t="str">
        <f>IF(D105="","",IFERROR(VLOOKUP(D105,csvratings!$A:$R,18,FALSE),"Not Found"))</f>
        <v/>
      </c>
      <c r="H105" s="4" t="str">
        <f t="shared" ca="1" si="2"/>
        <v/>
      </c>
    </row>
    <row r="106" spans="5:8">
      <c r="E106" t="str">
        <f>IF(B106="","",IFERROR(VLOOKUP(B106,csvratings!$A:$R,18,FALSE),"Not Found"))</f>
        <v/>
      </c>
      <c r="F106" t="str">
        <f>IF(C106="","",IFERROR(VLOOKUP(C106,csvratings!$A:$R,18,FALSE),"Not Found"))</f>
        <v/>
      </c>
      <c r="G106" t="str">
        <f>IF(D106="","",IFERROR(VLOOKUP(D106,csvratings!$A:$R,18,FALSE),"Not Found"))</f>
        <v/>
      </c>
      <c r="H106" s="4" t="str">
        <f t="shared" ca="1" si="2"/>
        <v/>
      </c>
    </row>
    <row r="107" spans="5:8">
      <c r="E107" t="str">
        <f>IF(B107="","",IFERROR(VLOOKUP(B107,csvratings!$A:$R,18,FALSE),"Not Found"))</f>
        <v/>
      </c>
      <c r="F107" t="str">
        <f>IF(C107="","",IFERROR(VLOOKUP(C107,csvratings!$A:$R,18,FALSE),"Not Found"))</f>
        <v/>
      </c>
      <c r="G107" t="str">
        <f>IF(D107="","",IFERROR(VLOOKUP(D107,csvratings!$A:$R,18,FALSE),"Not Found"))</f>
        <v/>
      </c>
      <c r="H107" s="4" t="str">
        <f t="shared" ca="1" si="2"/>
        <v/>
      </c>
    </row>
    <row r="108" spans="5:8">
      <c r="E108" t="str">
        <f>IF(B108="","",IFERROR(VLOOKUP(B108,csvratings!$A:$R,18,FALSE),"Not Found"))</f>
        <v/>
      </c>
      <c r="F108" t="str">
        <f>IF(C108="","",IFERROR(VLOOKUP(C108,csvratings!$A:$R,18,FALSE),"Not Found"))</f>
        <v/>
      </c>
      <c r="G108" t="str">
        <f>IF(D108="","",IFERROR(VLOOKUP(D108,csvratings!$A:$R,18,FALSE),"Not Found"))</f>
        <v/>
      </c>
      <c r="H108" s="4" t="str">
        <f t="shared" ca="1" si="2"/>
        <v/>
      </c>
    </row>
    <row r="109" spans="5:8">
      <c r="E109" t="str">
        <f>IF(B109="","",IFERROR(VLOOKUP(B109,csvratings!$A:$R,18,FALSE),"Not Found"))</f>
        <v/>
      </c>
      <c r="F109" t="str">
        <f>IF(C109="","",IFERROR(VLOOKUP(C109,csvratings!$A:$R,18,FALSE),"Not Found"))</f>
        <v/>
      </c>
      <c r="G109" t="str">
        <f>IF(D109="","",IFERROR(VLOOKUP(D109,csvratings!$A:$R,18,FALSE),"Not Found"))</f>
        <v/>
      </c>
      <c r="H109" s="4" t="str">
        <f t="shared" ca="1" si="2"/>
        <v/>
      </c>
    </row>
    <row r="110" spans="5:8">
      <c r="E110" t="str">
        <f>IF(B110="","",IFERROR(VLOOKUP(B110,csvratings!$A:$R,18,FALSE),"Not Found"))</f>
        <v/>
      </c>
      <c r="F110" t="str">
        <f>IF(C110="","",IFERROR(VLOOKUP(C110,csvratings!$A:$R,18,FALSE),"Not Found"))</f>
        <v/>
      </c>
      <c r="G110" t="str">
        <f>IF(D110="","",IFERROR(VLOOKUP(D110,csvratings!$A:$R,18,FALSE),"Not Found"))</f>
        <v/>
      </c>
      <c r="H110" s="4" t="str">
        <f t="shared" ca="1" si="2"/>
        <v/>
      </c>
    </row>
    <row r="111" spans="5:8">
      <c r="E111" t="str">
        <f>IF(B111="","",IFERROR(VLOOKUP(B111,csvratings!$A:$R,18,FALSE),"Not Found"))</f>
        <v/>
      </c>
      <c r="F111" t="str">
        <f>IF(C111="","",IFERROR(VLOOKUP(C111,csvratings!$A:$R,18,FALSE),"Not Found"))</f>
        <v/>
      </c>
      <c r="G111" t="str">
        <f>IF(D111="","",IFERROR(VLOOKUP(D111,csvratings!$A:$R,18,FALSE),"Not Found"))</f>
        <v/>
      </c>
      <c r="H111" s="4" t="str">
        <f t="shared" ca="1" si="2"/>
        <v/>
      </c>
    </row>
    <row r="112" spans="5:8">
      <c r="E112" t="str">
        <f>IF(B112="","",IFERROR(VLOOKUP(B112,csvratings!$A:$R,18,FALSE),"Not Found"))</f>
        <v/>
      </c>
      <c r="F112" t="str">
        <f>IF(C112="","",IFERROR(VLOOKUP(C112,csvratings!$A:$R,18,FALSE),"Not Found"))</f>
        <v/>
      </c>
      <c r="G112" t="str">
        <f>IF(D112="","",IFERROR(VLOOKUP(D112,csvratings!$A:$R,18,FALSE),"Not Found"))</f>
        <v/>
      </c>
      <c r="H112" s="4" t="str">
        <f t="shared" ca="1" si="2"/>
        <v/>
      </c>
    </row>
    <row r="113" spans="5:8">
      <c r="E113" t="str">
        <f>IF(B113="","",IFERROR(VLOOKUP(B113,csvratings!$A:$R,18,FALSE),"Not Found"))</f>
        <v/>
      </c>
      <c r="F113" t="str">
        <f>IF(C113="","",IFERROR(VLOOKUP(C113,csvratings!$A:$R,18,FALSE),"Not Found"))</f>
        <v/>
      </c>
      <c r="G113" t="str">
        <f>IF(D113="","",IFERROR(VLOOKUP(D113,csvratings!$A:$R,18,FALSE),"Not Found"))</f>
        <v/>
      </c>
      <c r="H113" s="4" t="str">
        <f t="shared" ca="1" si="2"/>
        <v/>
      </c>
    </row>
    <row r="114" spans="5:8">
      <c r="E114" t="str">
        <f>IF(B114="","",IFERROR(VLOOKUP(B114,csvratings!$A:$R,18,FALSE),"Not Found"))</f>
        <v/>
      </c>
      <c r="F114" t="str">
        <f>IF(C114="","",IFERROR(VLOOKUP(C114,csvratings!$A:$R,18,FALSE),"Not Found"))</f>
        <v/>
      </c>
      <c r="G114" t="str">
        <f>IF(D114="","",IFERROR(VLOOKUP(D114,csvratings!$A:$R,18,FALSE),"Not Found"))</f>
        <v/>
      </c>
      <c r="H114" s="4" t="str">
        <f t="shared" ca="1" si="2"/>
        <v/>
      </c>
    </row>
    <row r="115" spans="5:8">
      <c r="E115" t="str">
        <f>IF(B115="","",IFERROR(VLOOKUP(B115,csvratings!$A:$R,18,FALSE),"Not Found"))</f>
        <v/>
      </c>
      <c r="F115" t="str">
        <f>IF(C115="","",IFERROR(VLOOKUP(C115,csvratings!$A:$R,18,FALSE),"Not Found"))</f>
        <v/>
      </c>
      <c r="G115" t="str">
        <f>IF(D115="","",IFERROR(VLOOKUP(D115,csvratings!$A:$R,18,FALSE),"Not Found"))</f>
        <v/>
      </c>
      <c r="H115" s="4" t="str">
        <f t="shared" ca="1" si="2"/>
        <v/>
      </c>
    </row>
    <row r="116" spans="5:8">
      <c r="E116" t="str">
        <f>IF(B116="","",IFERROR(VLOOKUP(B116,csvratings!$A:$R,18,FALSE),"Not Found"))</f>
        <v/>
      </c>
      <c r="F116" t="str">
        <f>IF(C116="","",IFERROR(VLOOKUP(C116,csvratings!$A:$R,18,FALSE),"Not Found"))</f>
        <v/>
      </c>
      <c r="G116" t="str">
        <f>IF(D116="","",IFERROR(VLOOKUP(D116,csvratings!$A:$R,18,FALSE),"Not Found"))</f>
        <v/>
      </c>
      <c r="H116" s="4" t="str">
        <f t="shared" ca="1" si="2"/>
        <v/>
      </c>
    </row>
    <row r="117" spans="5:8">
      <c r="E117" t="str">
        <f>IF(B117="","",IFERROR(VLOOKUP(B117,csvratings!$A:$R,18,FALSE),"Not Found"))</f>
        <v/>
      </c>
      <c r="F117" t="str">
        <f>IF(C117="","",IFERROR(VLOOKUP(C117,csvratings!$A:$R,18,FALSE),"Not Found"))</f>
        <v/>
      </c>
      <c r="G117" t="str">
        <f>IF(D117="","",IFERROR(VLOOKUP(D117,csvratings!$A:$R,18,FALSE),"Not Found"))</f>
        <v/>
      </c>
      <c r="H117" s="4" t="str">
        <f t="shared" ca="1" si="2"/>
        <v/>
      </c>
    </row>
    <row r="118" spans="5:8">
      <c r="E118" t="str">
        <f>IF(B118="","",IFERROR(VLOOKUP(B118,csvratings!$A:$R,18,FALSE),"Not Found"))</f>
        <v/>
      </c>
      <c r="F118" t="str">
        <f>IF(C118="","",IFERROR(VLOOKUP(C118,csvratings!$A:$R,18,FALSE),"Not Found"))</f>
        <v/>
      </c>
      <c r="G118" t="str">
        <f>IF(D118="","",IFERROR(VLOOKUP(D118,csvratings!$A:$R,18,FALSE),"Not Found"))</f>
        <v/>
      </c>
      <c r="H118" s="4" t="str">
        <f t="shared" ca="1" si="2"/>
        <v/>
      </c>
    </row>
    <row r="119" spans="5:8">
      <c r="E119" t="str">
        <f>IF(B119="","",IFERROR(VLOOKUP(B119,csvratings!$A:$R,18,FALSE),"Not Found"))</f>
        <v/>
      </c>
      <c r="F119" t="str">
        <f>IF(C119="","",IFERROR(VLOOKUP(C119,csvratings!$A:$R,18,FALSE),"Not Found"))</f>
        <v/>
      </c>
      <c r="G119" t="str">
        <f>IF(D119="","",IFERROR(VLOOKUP(D119,csvratings!$A:$R,18,FALSE),"Not Found"))</f>
        <v/>
      </c>
      <c r="H119" s="4" t="str">
        <f t="shared" ca="1" si="2"/>
        <v/>
      </c>
    </row>
    <row r="120" spans="5:8">
      <c r="E120" t="str">
        <f>IF(B120="","",IFERROR(VLOOKUP(B120,csvratings!$A:$R,18,FALSE),"Not Found"))</f>
        <v/>
      </c>
      <c r="F120" t="str">
        <f>IF(C120="","",IFERROR(VLOOKUP(C120,csvratings!$A:$R,18,FALSE),"Not Found"))</f>
        <v/>
      </c>
      <c r="G120" t="str">
        <f>IF(D120="","",IFERROR(VLOOKUP(D120,csvratings!$A:$R,18,FALSE),"Not Found"))</f>
        <v/>
      </c>
      <c r="H120" s="4" t="str">
        <f t="shared" ca="1" si="2"/>
        <v/>
      </c>
    </row>
    <row r="121" spans="5:8">
      <c r="E121" t="str">
        <f>IF(B121="","",IFERROR(VLOOKUP(B121,csvratings!$A:$R,18,FALSE),"Not Found"))</f>
        <v/>
      </c>
      <c r="F121" t="str">
        <f>IF(C121="","",IFERROR(VLOOKUP(C121,csvratings!$A:$R,18,FALSE),"Not Found"))</f>
        <v/>
      </c>
      <c r="G121" t="str">
        <f>IF(D121="","",IFERROR(VLOOKUP(D121,csvratings!$A:$R,18,FALSE),"Not Found"))</f>
        <v/>
      </c>
      <c r="H121" s="4" t="str">
        <f t="shared" ca="1" si="2"/>
        <v/>
      </c>
    </row>
    <row r="122" spans="5:8">
      <c r="E122" t="str">
        <f>IF(B122="","",IFERROR(VLOOKUP(B122,csvratings!$A:$R,18,FALSE),"Not Found"))</f>
        <v/>
      </c>
      <c r="F122" t="str">
        <f>IF(C122="","",IFERROR(VLOOKUP(C122,csvratings!$A:$R,18,FALSE),"Not Found"))</f>
        <v/>
      </c>
      <c r="G122" t="str">
        <f>IF(D122="","",IFERROR(VLOOKUP(D122,csvratings!$A:$R,18,FALSE),"Not Found"))</f>
        <v/>
      </c>
      <c r="H122" s="4" t="str">
        <f t="shared" ca="1" si="2"/>
        <v/>
      </c>
    </row>
    <row r="123" spans="5:8">
      <c r="E123" t="str">
        <f>IF(B123="","",IFERROR(VLOOKUP(B123,csvratings!$A:$R,18,FALSE),"Not Found"))</f>
        <v/>
      </c>
      <c r="F123" t="str">
        <f>IF(C123="","",IFERROR(VLOOKUP(C123,csvratings!$A:$R,18,FALSE),"Not Found"))</f>
        <v/>
      </c>
      <c r="G123" t="str">
        <f>IF(D123="","",IFERROR(VLOOKUP(D123,csvratings!$A:$R,18,FALSE),"Not Found"))</f>
        <v/>
      </c>
      <c r="H123" s="4" t="str">
        <f t="shared" ca="1" si="2"/>
        <v/>
      </c>
    </row>
    <row r="124" spans="5:8">
      <c r="E124" t="str">
        <f>IF(B124="","",IFERROR(VLOOKUP(B124,csvratings!$A:$R,18,FALSE),"Not Found"))</f>
        <v/>
      </c>
      <c r="F124" t="str">
        <f>IF(C124="","",IFERROR(VLOOKUP(C124,csvratings!$A:$R,18,FALSE),"Not Found"))</f>
        <v/>
      </c>
      <c r="G124" t="str">
        <f>IF(D124="","",IFERROR(VLOOKUP(D124,csvratings!$A:$R,18,FALSE),"Not Found"))</f>
        <v/>
      </c>
      <c r="H124" s="4" t="str">
        <f t="shared" ca="1" si="2"/>
        <v/>
      </c>
    </row>
    <row r="125" spans="5:8">
      <c r="E125" t="str">
        <f>IF(B125="","",IFERROR(VLOOKUP(B125,csvratings!$A:$R,18,FALSE),"Not Found"))</f>
        <v/>
      </c>
      <c r="F125" t="str">
        <f>IF(C125="","",IFERROR(VLOOKUP(C125,csvratings!$A:$R,18,FALSE),"Not Found"))</f>
        <v/>
      </c>
      <c r="G125" t="str">
        <f>IF(D125="","",IFERROR(VLOOKUP(D125,csvratings!$A:$R,18,FALSE),"Not Found"))</f>
        <v/>
      </c>
      <c r="H125" s="4" t="str">
        <f t="shared" ca="1" si="2"/>
        <v/>
      </c>
    </row>
    <row r="126" spans="5:8">
      <c r="E126" t="str">
        <f>IF(B126="","",IFERROR(VLOOKUP(B126,csvratings!$A:$R,18,FALSE),"Not Found"))</f>
        <v/>
      </c>
      <c r="F126" t="str">
        <f>IF(C126="","",IFERROR(VLOOKUP(C126,csvratings!$A:$R,18,FALSE),"Not Found"))</f>
        <v/>
      </c>
      <c r="G126" t="str">
        <f>IF(D126="","",IFERROR(VLOOKUP(D126,csvratings!$A:$R,18,FALSE),"Not Found"))</f>
        <v/>
      </c>
      <c r="H126" s="4" t="str">
        <f t="shared" ca="1" si="2"/>
        <v/>
      </c>
    </row>
    <row r="127" spans="5:8">
      <c r="E127" t="str">
        <f>IF(B127="","",IFERROR(VLOOKUP(B127,csvratings!$A:$R,18,FALSE),"Not Found"))</f>
        <v/>
      </c>
      <c r="F127" t="str">
        <f>IF(C127="","",IFERROR(VLOOKUP(C127,csvratings!$A:$R,18,FALSE),"Not Found"))</f>
        <v/>
      </c>
      <c r="G127" t="str">
        <f>IF(D127="","",IFERROR(VLOOKUP(D127,csvratings!$A:$R,18,FALSE),"Not Found"))</f>
        <v/>
      </c>
      <c r="H127" s="4" t="str">
        <f t="shared" ca="1" si="2"/>
        <v/>
      </c>
    </row>
    <row r="128" spans="5:8">
      <c r="E128" t="str">
        <f>IF(B128="","",IFERROR(VLOOKUP(B128,csvratings!$A:$R,18,FALSE),"Not Found"))</f>
        <v/>
      </c>
      <c r="F128" t="str">
        <f>IF(C128="","",IFERROR(VLOOKUP(C128,csvratings!$A:$R,18,FALSE),"Not Found"))</f>
        <v/>
      </c>
      <c r="G128" t="str">
        <f>IF(D128="","",IFERROR(VLOOKUP(D128,csvratings!$A:$R,18,FALSE),"Not Found"))</f>
        <v/>
      </c>
      <c r="H128" s="4" t="str">
        <f t="shared" ca="1" si="2"/>
        <v/>
      </c>
    </row>
    <row r="129" spans="5:8">
      <c r="E129" t="str">
        <f>IF(B129="","",IFERROR(VLOOKUP(B129,csvratings!$A:$R,18,FALSE),"Not Found"))</f>
        <v/>
      </c>
      <c r="F129" t="str">
        <f>IF(C129="","",IFERROR(VLOOKUP(C129,csvratings!$A:$R,18,FALSE),"Not Found"))</f>
        <v/>
      </c>
      <c r="G129" t="str">
        <f>IF(D129="","",IFERROR(VLOOKUP(D129,csvratings!$A:$R,18,FALSE),"Not Found"))</f>
        <v/>
      </c>
      <c r="H129" s="4" t="str">
        <f t="shared" ca="1" si="2"/>
        <v/>
      </c>
    </row>
    <row r="130" spans="5:8">
      <c r="E130" t="str">
        <f>IF(B130="","",IFERROR(VLOOKUP(B130,csvratings!$A:$R,18,FALSE),"Not Found"))</f>
        <v/>
      </c>
      <c r="F130" t="str">
        <f>IF(C130="","",IFERROR(VLOOKUP(C130,csvratings!$A:$R,18,FALSE),"Not Found"))</f>
        <v/>
      </c>
      <c r="G130" t="str">
        <f>IF(D130="","",IFERROR(VLOOKUP(D130,csvratings!$A:$R,18,FALSE),"Not Found"))</f>
        <v/>
      </c>
      <c r="H130" s="4" t="str">
        <f t="shared" ca="1" si="2"/>
        <v/>
      </c>
    </row>
    <row r="131" spans="5:8">
      <c r="E131" t="str">
        <f>IF(B131="","",IFERROR(VLOOKUP(B131,csvratings!$A:$R,18,FALSE),"Not Found"))</f>
        <v/>
      </c>
      <c r="F131" t="str">
        <f>IF(C131="","",IFERROR(VLOOKUP(C131,csvratings!$A:$R,18,FALSE),"Not Found"))</f>
        <v/>
      </c>
      <c r="G131" t="str">
        <f>IF(D131="","",IFERROR(VLOOKUP(D131,csvratings!$A:$R,18,FALSE),"Not Found"))</f>
        <v/>
      </c>
      <c r="H131" s="4" t="str">
        <f t="shared" ref="H131:H194" ca="1" si="3">IF(AND(B131&lt;&gt;"",C131&lt;&gt;"",D131&lt;&gt;""),TODAY(),"")</f>
        <v/>
      </c>
    </row>
    <row r="132" spans="5:8">
      <c r="E132" t="str">
        <f>IF(B132="","",IFERROR(VLOOKUP(B132,csvratings!$A:$R,18,FALSE),"Not Found"))</f>
        <v/>
      </c>
      <c r="F132" t="str">
        <f>IF(C132="","",IFERROR(VLOOKUP(C132,csvratings!$A:$R,18,FALSE),"Not Found"))</f>
        <v/>
      </c>
      <c r="G132" t="str">
        <f>IF(D132="","",IFERROR(VLOOKUP(D132,csvratings!$A:$R,18,FALSE),"Not Found"))</f>
        <v/>
      </c>
      <c r="H132" s="4" t="str">
        <f t="shared" ca="1" si="3"/>
        <v/>
      </c>
    </row>
    <row r="133" spans="5:8">
      <c r="E133" t="str">
        <f>IF(B133="","",IFERROR(VLOOKUP(B133,csvratings!$A:$R,18,FALSE),"Not Found"))</f>
        <v/>
      </c>
      <c r="F133" t="str">
        <f>IF(C133="","",IFERROR(VLOOKUP(C133,csvratings!$A:$R,18,FALSE),"Not Found"))</f>
        <v/>
      </c>
      <c r="G133" t="str">
        <f>IF(D133="","",IFERROR(VLOOKUP(D133,csvratings!$A:$R,18,FALSE),"Not Found"))</f>
        <v/>
      </c>
      <c r="H133" s="4" t="str">
        <f t="shared" ca="1" si="3"/>
        <v/>
      </c>
    </row>
    <row r="134" spans="5:8">
      <c r="E134" t="str">
        <f>IF(B134="","",IFERROR(VLOOKUP(B134,csvratings!$A:$R,18,FALSE),"Not Found"))</f>
        <v/>
      </c>
      <c r="F134" t="str">
        <f>IF(C134="","",IFERROR(VLOOKUP(C134,csvratings!$A:$R,18,FALSE),"Not Found"))</f>
        <v/>
      </c>
      <c r="G134" t="str">
        <f>IF(D134="","",IFERROR(VLOOKUP(D134,csvratings!$A:$R,18,FALSE),"Not Found"))</f>
        <v/>
      </c>
      <c r="H134" s="4" t="str">
        <f t="shared" ca="1" si="3"/>
        <v/>
      </c>
    </row>
    <row r="135" spans="5:8">
      <c r="E135" t="str">
        <f>IF(B135="","",IFERROR(VLOOKUP(B135,csvratings!$A:$R,18,FALSE),"Not Found"))</f>
        <v/>
      </c>
      <c r="F135" t="str">
        <f>IF(C135="","",IFERROR(VLOOKUP(C135,csvratings!$A:$R,18,FALSE),"Not Found"))</f>
        <v/>
      </c>
      <c r="G135" t="str">
        <f>IF(D135="","",IFERROR(VLOOKUP(D135,csvratings!$A:$R,18,FALSE),"Not Found"))</f>
        <v/>
      </c>
      <c r="H135" s="4" t="str">
        <f t="shared" ca="1" si="3"/>
        <v/>
      </c>
    </row>
    <row r="136" spans="5:8">
      <c r="E136" t="str">
        <f>IF(B136="","",IFERROR(VLOOKUP(B136,csvratings!$A:$R,18,FALSE),"Not Found"))</f>
        <v/>
      </c>
      <c r="F136" t="str">
        <f>IF(C136="","",IFERROR(VLOOKUP(C136,csvratings!$A:$R,18,FALSE),"Not Found"))</f>
        <v/>
      </c>
      <c r="G136" t="str">
        <f>IF(D136="","",IFERROR(VLOOKUP(D136,csvratings!$A:$R,18,FALSE),"Not Found"))</f>
        <v/>
      </c>
      <c r="H136" s="4" t="str">
        <f t="shared" ca="1" si="3"/>
        <v/>
      </c>
    </row>
    <row r="137" spans="5:8">
      <c r="E137" t="str">
        <f>IF(B137="","",IFERROR(VLOOKUP(B137,csvratings!$A:$R,18,FALSE),"Not Found"))</f>
        <v/>
      </c>
      <c r="F137" t="str">
        <f>IF(C137="","",IFERROR(VLOOKUP(C137,csvratings!$A:$R,18,FALSE),"Not Found"))</f>
        <v/>
      </c>
      <c r="G137" t="str">
        <f>IF(D137="","",IFERROR(VLOOKUP(D137,csvratings!$A:$R,18,FALSE),"Not Found"))</f>
        <v/>
      </c>
      <c r="H137" s="4" t="str">
        <f t="shared" ca="1" si="3"/>
        <v/>
      </c>
    </row>
    <row r="138" spans="5:8">
      <c r="E138" t="str">
        <f>IF(B138="","",IFERROR(VLOOKUP(B138,csvratings!$A:$R,18,FALSE),"Not Found"))</f>
        <v/>
      </c>
      <c r="F138" t="str">
        <f>IF(C138="","",IFERROR(VLOOKUP(C138,csvratings!$A:$R,18,FALSE),"Not Found"))</f>
        <v/>
      </c>
      <c r="G138" t="str">
        <f>IF(D138="","",IFERROR(VLOOKUP(D138,csvratings!$A:$R,18,FALSE),"Not Found"))</f>
        <v/>
      </c>
      <c r="H138" s="4" t="str">
        <f t="shared" ca="1" si="3"/>
        <v/>
      </c>
    </row>
    <row r="139" spans="5:8">
      <c r="E139" t="str">
        <f>IF(B139="","",IFERROR(VLOOKUP(B139,csvratings!$A:$R,18,FALSE),"Not Found"))</f>
        <v/>
      </c>
      <c r="F139" t="str">
        <f>IF(C139="","",IFERROR(VLOOKUP(C139,csvratings!$A:$R,18,FALSE),"Not Found"))</f>
        <v/>
      </c>
      <c r="G139" t="str">
        <f>IF(D139="","",IFERROR(VLOOKUP(D139,csvratings!$A:$R,18,FALSE),"Not Found"))</f>
        <v/>
      </c>
      <c r="H139" s="4" t="str">
        <f t="shared" ca="1" si="3"/>
        <v/>
      </c>
    </row>
    <row r="140" spans="5:8">
      <c r="E140" t="str">
        <f>IF(B140="","",IFERROR(VLOOKUP(B140,csvratings!$A:$R,18,FALSE),"Not Found"))</f>
        <v/>
      </c>
      <c r="F140" t="str">
        <f>IF(C140="","",IFERROR(VLOOKUP(C140,csvratings!$A:$R,18,FALSE),"Not Found"))</f>
        <v/>
      </c>
      <c r="G140" t="str">
        <f>IF(D140="","",IFERROR(VLOOKUP(D140,csvratings!$A:$R,18,FALSE),"Not Found"))</f>
        <v/>
      </c>
      <c r="H140" s="4" t="str">
        <f t="shared" ca="1" si="3"/>
        <v/>
      </c>
    </row>
    <row r="141" spans="5:8">
      <c r="E141" t="str">
        <f>IF(B141="","",IFERROR(VLOOKUP(B141,csvratings!$A:$R,18,FALSE),"Not Found"))</f>
        <v/>
      </c>
      <c r="F141" t="str">
        <f>IF(C141="","",IFERROR(VLOOKUP(C141,csvratings!$A:$R,18,FALSE),"Not Found"))</f>
        <v/>
      </c>
      <c r="G141" t="str">
        <f>IF(D141="","",IFERROR(VLOOKUP(D141,csvratings!$A:$R,18,FALSE),"Not Found"))</f>
        <v/>
      </c>
      <c r="H141" s="4" t="str">
        <f t="shared" ca="1" si="3"/>
        <v/>
      </c>
    </row>
    <row r="142" spans="5:8">
      <c r="E142" t="str">
        <f>IF(B142="","",IFERROR(VLOOKUP(B142,csvratings!$A:$R,18,FALSE),"Not Found"))</f>
        <v/>
      </c>
      <c r="F142" t="str">
        <f>IF(C142="","",IFERROR(VLOOKUP(C142,csvratings!$A:$R,18,FALSE),"Not Found"))</f>
        <v/>
      </c>
      <c r="G142" t="str">
        <f>IF(D142="","",IFERROR(VLOOKUP(D142,csvratings!$A:$R,18,FALSE),"Not Found"))</f>
        <v/>
      </c>
      <c r="H142" s="4" t="str">
        <f t="shared" ca="1" si="3"/>
        <v/>
      </c>
    </row>
    <row r="143" spans="5:8">
      <c r="E143" t="str">
        <f>IF(B143="","",IFERROR(VLOOKUP(B143,csvratings!$A:$R,18,FALSE),"Not Found"))</f>
        <v/>
      </c>
      <c r="F143" t="str">
        <f>IF(C143="","",IFERROR(VLOOKUP(C143,csvratings!$A:$R,18,FALSE),"Not Found"))</f>
        <v/>
      </c>
      <c r="G143" t="str">
        <f>IF(D143="","",IFERROR(VLOOKUP(D143,csvratings!$A:$R,18,FALSE),"Not Found"))</f>
        <v/>
      </c>
      <c r="H143" s="4" t="str">
        <f t="shared" ca="1" si="3"/>
        <v/>
      </c>
    </row>
    <row r="144" spans="5:8">
      <c r="E144" t="str">
        <f>IF(B144="","",IFERROR(VLOOKUP(B144,csvratings!$A:$R,18,FALSE),"Not Found"))</f>
        <v/>
      </c>
      <c r="F144" t="str">
        <f>IF(C144="","",IFERROR(VLOOKUP(C144,csvratings!$A:$R,18,FALSE),"Not Found"))</f>
        <v/>
      </c>
      <c r="G144" t="str">
        <f>IF(D144="","",IFERROR(VLOOKUP(D144,csvratings!$A:$R,18,FALSE),"Not Found"))</f>
        <v/>
      </c>
      <c r="H144" s="4" t="str">
        <f t="shared" ca="1" si="3"/>
        <v/>
      </c>
    </row>
    <row r="145" spans="5:8">
      <c r="E145" t="str">
        <f>IF(B145="","",IFERROR(VLOOKUP(B145,csvratings!$A:$R,18,FALSE),"Not Found"))</f>
        <v/>
      </c>
      <c r="F145" t="str">
        <f>IF(C145="","",IFERROR(VLOOKUP(C145,csvratings!$A:$R,18,FALSE),"Not Found"))</f>
        <v/>
      </c>
      <c r="G145" t="str">
        <f>IF(D145="","",IFERROR(VLOOKUP(D145,csvratings!$A:$R,18,FALSE),"Not Found"))</f>
        <v/>
      </c>
      <c r="H145" s="4" t="str">
        <f t="shared" ca="1" si="3"/>
        <v/>
      </c>
    </row>
    <row r="146" spans="5:8">
      <c r="E146" t="str">
        <f>IF(B146="","",IFERROR(VLOOKUP(B146,csvratings!$A:$R,18,FALSE),"Not Found"))</f>
        <v/>
      </c>
      <c r="F146" t="str">
        <f>IF(C146="","",IFERROR(VLOOKUP(C146,csvratings!$A:$R,18,FALSE),"Not Found"))</f>
        <v/>
      </c>
      <c r="G146" t="str">
        <f>IF(D146="","",IFERROR(VLOOKUP(D146,csvratings!$A:$R,18,FALSE),"Not Found"))</f>
        <v/>
      </c>
      <c r="H146" s="4" t="str">
        <f t="shared" ca="1" si="3"/>
        <v/>
      </c>
    </row>
    <row r="147" spans="5:8">
      <c r="E147" t="str">
        <f>IF(B147="","",IFERROR(VLOOKUP(B147,csvratings!$A:$R,18,FALSE),"Not Found"))</f>
        <v/>
      </c>
      <c r="F147" t="str">
        <f>IF(C147="","",IFERROR(VLOOKUP(C147,csvratings!$A:$R,18,FALSE),"Not Found"))</f>
        <v/>
      </c>
      <c r="G147" t="str">
        <f>IF(D147="","",IFERROR(VLOOKUP(D147,csvratings!$A:$R,18,FALSE),"Not Found"))</f>
        <v/>
      </c>
      <c r="H147" s="4" t="str">
        <f t="shared" ca="1" si="3"/>
        <v/>
      </c>
    </row>
    <row r="148" spans="5:8">
      <c r="E148" t="str">
        <f>IF(B148="","",IFERROR(VLOOKUP(B148,csvratings!$A:$R,18,FALSE),"Not Found"))</f>
        <v/>
      </c>
      <c r="F148" t="str">
        <f>IF(C148="","",IFERROR(VLOOKUP(C148,csvratings!$A:$R,18,FALSE),"Not Found"))</f>
        <v/>
      </c>
      <c r="G148" t="str">
        <f>IF(D148="","",IFERROR(VLOOKUP(D148,csvratings!$A:$R,18,FALSE),"Not Found"))</f>
        <v/>
      </c>
      <c r="H148" s="4" t="str">
        <f t="shared" ca="1" si="3"/>
        <v/>
      </c>
    </row>
    <row r="149" spans="5:8">
      <c r="E149" t="str">
        <f>IF(B149="","",IFERROR(VLOOKUP(B149,csvratings!$A:$R,18,FALSE),"Not Found"))</f>
        <v/>
      </c>
      <c r="F149" t="str">
        <f>IF(C149="","",IFERROR(VLOOKUP(C149,csvratings!$A:$R,18,FALSE),"Not Found"))</f>
        <v/>
      </c>
      <c r="G149" t="str">
        <f>IF(D149="","",IFERROR(VLOOKUP(D149,csvratings!$A:$R,18,FALSE),"Not Found"))</f>
        <v/>
      </c>
      <c r="H149" s="4" t="str">
        <f t="shared" ca="1" si="3"/>
        <v/>
      </c>
    </row>
    <row r="150" spans="5:8">
      <c r="E150" t="str">
        <f>IF(B150="","",IFERROR(VLOOKUP(B150,csvratings!$A:$R,18,FALSE),"Not Found"))</f>
        <v/>
      </c>
      <c r="F150" t="str">
        <f>IF(C150="","",IFERROR(VLOOKUP(C150,csvratings!$A:$R,18,FALSE),"Not Found"))</f>
        <v/>
      </c>
      <c r="G150" t="str">
        <f>IF(D150="","",IFERROR(VLOOKUP(D150,csvratings!$A:$R,18,FALSE),"Not Found"))</f>
        <v/>
      </c>
      <c r="H150" s="4" t="str">
        <f t="shared" ca="1" si="3"/>
        <v/>
      </c>
    </row>
    <row r="151" spans="5:8">
      <c r="E151" t="str">
        <f>IF(B151="","",IFERROR(VLOOKUP(B151,csvratings!$A:$R,18,FALSE),"Not Found"))</f>
        <v/>
      </c>
      <c r="F151" t="str">
        <f>IF(C151="","",IFERROR(VLOOKUP(C151,csvratings!$A:$R,18,FALSE),"Not Found"))</f>
        <v/>
      </c>
      <c r="G151" t="str">
        <f>IF(D151="","",IFERROR(VLOOKUP(D151,csvratings!$A:$R,18,FALSE),"Not Found"))</f>
        <v/>
      </c>
      <c r="H151" s="4" t="str">
        <f t="shared" ca="1" si="3"/>
        <v/>
      </c>
    </row>
    <row r="152" spans="5:8">
      <c r="E152" t="str">
        <f>IF(B152="","",IFERROR(VLOOKUP(B152,csvratings!$A:$R,18,FALSE),"Not Found"))</f>
        <v/>
      </c>
      <c r="F152" t="str">
        <f>IF(C152="","",IFERROR(VLOOKUP(C152,csvratings!$A:$R,18,FALSE),"Not Found"))</f>
        <v/>
      </c>
      <c r="G152" t="str">
        <f>IF(D152="","",IFERROR(VLOOKUP(D152,csvratings!$A:$R,18,FALSE),"Not Found"))</f>
        <v/>
      </c>
      <c r="H152" s="4" t="str">
        <f t="shared" ca="1" si="3"/>
        <v/>
      </c>
    </row>
    <row r="153" spans="5:8">
      <c r="E153" t="str">
        <f>IF(B153="","",IFERROR(VLOOKUP(B153,csvratings!$A:$R,18,FALSE),"Not Found"))</f>
        <v/>
      </c>
      <c r="F153" t="str">
        <f>IF(C153="","",IFERROR(VLOOKUP(C153,csvratings!$A:$R,18,FALSE),"Not Found"))</f>
        <v/>
      </c>
      <c r="G153" t="str">
        <f>IF(D153="","",IFERROR(VLOOKUP(D153,csvratings!$A:$R,18,FALSE),"Not Found"))</f>
        <v/>
      </c>
      <c r="H153" s="4" t="str">
        <f t="shared" ca="1" si="3"/>
        <v/>
      </c>
    </row>
    <row r="154" spans="5:8">
      <c r="E154" t="str">
        <f>IF(B154="","",IFERROR(VLOOKUP(B154,csvratings!$A:$R,18,FALSE),"Not Found"))</f>
        <v/>
      </c>
      <c r="F154" t="str">
        <f>IF(C154="","",IFERROR(VLOOKUP(C154,csvratings!$A:$R,18,FALSE),"Not Found"))</f>
        <v/>
      </c>
      <c r="G154" t="str">
        <f>IF(D154="","",IFERROR(VLOOKUP(D154,csvratings!$A:$R,18,FALSE),"Not Found"))</f>
        <v/>
      </c>
      <c r="H154" s="4" t="str">
        <f t="shared" ca="1" si="3"/>
        <v/>
      </c>
    </row>
    <row r="155" spans="5:8">
      <c r="E155" t="str">
        <f>IF(B155="","",IFERROR(VLOOKUP(B155,csvratings!$A:$R,18,FALSE),"Not Found"))</f>
        <v/>
      </c>
      <c r="F155" t="str">
        <f>IF(C155="","",IFERROR(VLOOKUP(C155,csvratings!$A:$R,18,FALSE),"Not Found"))</f>
        <v/>
      </c>
      <c r="G155" t="str">
        <f>IF(D155="","",IFERROR(VLOOKUP(D155,csvratings!$A:$R,18,FALSE),"Not Found"))</f>
        <v/>
      </c>
      <c r="H155" s="4" t="str">
        <f t="shared" ca="1" si="3"/>
        <v/>
      </c>
    </row>
    <row r="156" spans="5:8">
      <c r="E156" t="str">
        <f>IF(B156="","",IFERROR(VLOOKUP(B156,csvratings!$A:$R,18,FALSE),"Not Found"))</f>
        <v/>
      </c>
      <c r="F156" t="str">
        <f>IF(C156="","",IFERROR(VLOOKUP(C156,csvratings!$A:$R,18,FALSE),"Not Found"))</f>
        <v/>
      </c>
      <c r="G156" t="str">
        <f>IF(D156="","",IFERROR(VLOOKUP(D156,csvratings!$A:$R,18,FALSE),"Not Found"))</f>
        <v/>
      </c>
      <c r="H156" s="4" t="str">
        <f t="shared" ca="1" si="3"/>
        <v/>
      </c>
    </row>
    <row r="157" spans="5:8">
      <c r="E157" t="str">
        <f>IF(B157="","",IFERROR(VLOOKUP(B157,csvratings!$A:$R,18,FALSE),"Not Found"))</f>
        <v/>
      </c>
      <c r="F157" t="str">
        <f>IF(C157="","",IFERROR(VLOOKUP(C157,csvratings!$A:$R,18,FALSE),"Not Found"))</f>
        <v/>
      </c>
      <c r="G157" t="str">
        <f>IF(D157="","",IFERROR(VLOOKUP(D157,csvratings!$A:$R,18,FALSE),"Not Found"))</f>
        <v/>
      </c>
      <c r="H157" s="4" t="str">
        <f t="shared" ca="1" si="3"/>
        <v/>
      </c>
    </row>
    <row r="158" spans="5:8">
      <c r="E158" t="str">
        <f>IF(B158="","",IFERROR(VLOOKUP(B158,csvratings!$A:$R,18,FALSE),"Not Found"))</f>
        <v/>
      </c>
      <c r="F158" t="str">
        <f>IF(C158="","",IFERROR(VLOOKUP(C158,csvratings!$A:$R,18,FALSE),"Not Found"))</f>
        <v/>
      </c>
      <c r="G158" t="str">
        <f>IF(D158="","",IFERROR(VLOOKUP(D158,csvratings!$A:$R,18,FALSE),"Not Found"))</f>
        <v/>
      </c>
      <c r="H158" s="4" t="str">
        <f t="shared" ca="1" si="3"/>
        <v/>
      </c>
    </row>
    <row r="159" spans="5:8">
      <c r="E159" t="str">
        <f>IF(B159="","",IFERROR(VLOOKUP(B159,csvratings!$A:$R,18,FALSE),"Not Found"))</f>
        <v/>
      </c>
      <c r="F159" t="str">
        <f>IF(C159="","",IFERROR(VLOOKUP(C159,csvratings!$A:$R,18,FALSE),"Not Found"))</f>
        <v/>
      </c>
      <c r="G159" t="str">
        <f>IF(D159="","",IFERROR(VLOOKUP(D159,csvratings!$A:$R,18,FALSE),"Not Found"))</f>
        <v/>
      </c>
      <c r="H159" s="4" t="str">
        <f t="shared" ca="1" si="3"/>
        <v/>
      </c>
    </row>
    <row r="160" spans="5:8">
      <c r="E160" t="str">
        <f>IF(B160="","",IFERROR(VLOOKUP(B160,csvratings!$A:$R,18,FALSE),"Not Found"))</f>
        <v/>
      </c>
      <c r="F160" t="str">
        <f>IF(C160="","",IFERROR(VLOOKUP(C160,csvratings!$A:$R,18,FALSE),"Not Found"))</f>
        <v/>
      </c>
      <c r="G160" t="str">
        <f>IF(D160="","",IFERROR(VLOOKUP(D160,csvratings!$A:$R,18,FALSE),"Not Found"))</f>
        <v/>
      </c>
      <c r="H160" s="4" t="str">
        <f t="shared" ca="1" si="3"/>
        <v/>
      </c>
    </row>
    <row r="161" spans="5:8">
      <c r="E161" t="str">
        <f>IF(B161="","",IFERROR(VLOOKUP(B161,csvratings!$A:$R,18,FALSE),"Not Found"))</f>
        <v/>
      </c>
      <c r="F161" t="str">
        <f>IF(C161="","",IFERROR(VLOOKUP(C161,csvratings!$A:$R,18,FALSE),"Not Found"))</f>
        <v/>
      </c>
      <c r="G161" t="str">
        <f>IF(D161="","",IFERROR(VLOOKUP(D161,csvratings!$A:$R,18,FALSE),"Not Found"))</f>
        <v/>
      </c>
      <c r="H161" s="4" t="str">
        <f t="shared" ca="1" si="3"/>
        <v/>
      </c>
    </row>
    <row r="162" spans="5:8">
      <c r="E162" t="str">
        <f>IF(B162="","",IFERROR(VLOOKUP(B162,csvratings!$A:$R,18,FALSE),"Not Found"))</f>
        <v/>
      </c>
      <c r="F162" t="str">
        <f>IF(C162="","",IFERROR(VLOOKUP(C162,csvratings!$A:$R,18,FALSE),"Not Found"))</f>
        <v/>
      </c>
      <c r="G162" t="str">
        <f>IF(D162="","",IFERROR(VLOOKUP(D162,csvratings!$A:$R,18,FALSE),"Not Found"))</f>
        <v/>
      </c>
      <c r="H162" s="4" t="str">
        <f t="shared" ca="1" si="3"/>
        <v/>
      </c>
    </row>
    <row r="163" spans="5:8">
      <c r="E163" t="str">
        <f>IF(B163="","",IFERROR(VLOOKUP(B163,csvratings!$A:$R,18,FALSE),"Not Found"))</f>
        <v/>
      </c>
      <c r="F163" t="str">
        <f>IF(C163="","",IFERROR(VLOOKUP(C163,csvratings!$A:$R,18,FALSE),"Not Found"))</f>
        <v/>
      </c>
      <c r="G163" t="str">
        <f>IF(D163="","",IFERROR(VLOOKUP(D163,csvratings!$A:$R,18,FALSE),"Not Found"))</f>
        <v/>
      </c>
      <c r="H163" s="4" t="str">
        <f t="shared" ca="1" si="3"/>
        <v/>
      </c>
    </row>
    <row r="164" spans="5:8">
      <c r="E164" t="str">
        <f>IF(B164="","",IFERROR(VLOOKUP(B164,csvratings!$A:$R,18,FALSE),"Not Found"))</f>
        <v/>
      </c>
      <c r="F164" t="str">
        <f>IF(C164="","",IFERROR(VLOOKUP(C164,csvratings!$A:$R,18,FALSE),"Not Found"))</f>
        <v/>
      </c>
      <c r="G164" t="str">
        <f>IF(D164="","",IFERROR(VLOOKUP(D164,csvratings!$A:$R,18,FALSE),"Not Found"))</f>
        <v/>
      </c>
      <c r="H164" s="4" t="str">
        <f t="shared" ca="1" si="3"/>
        <v/>
      </c>
    </row>
    <row r="165" spans="5:8">
      <c r="E165" t="str">
        <f>IF(B165="","",IFERROR(VLOOKUP(B165,csvratings!$A:$R,18,FALSE),"Not Found"))</f>
        <v/>
      </c>
      <c r="F165" t="str">
        <f>IF(C165="","",IFERROR(VLOOKUP(C165,csvratings!$A:$R,18,FALSE),"Not Found"))</f>
        <v/>
      </c>
      <c r="G165" t="str">
        <f>IF(D165="","",IFERROR(VLOOKUP(D165,csvratings!$A:$R,18,FALSE),"Not Found"))</f>
        <v/>
      </c>
      <c r="H165" s="4" t="str">
        <f t="shared" ca="1" si="3"/>
        <v/>
      </c>
    </row>
    <row r="166" spans="5:8">
      <c r="E166" t="str">
        <f>IF(B166="","",IFERROR(VLOOKUP(B166,csvratings!$A:$R,18,FALSE),"Not Found"))</f>
        <v/>
      </c>
      <c r="F166" t="str">
        <f>IF(C166="","",IFERROR(VLOOKUP(C166,csvratings!$A:$R,18,FALSE),"Not Found"))</f>
        <v/>
      </c>
      <c r="G166" t="str">
        <f>IF(D166="","",IFERROR(VLOOKUP(D166,csvratings!$A:$R,18,FALSE),"Not Found"))</f>
        <v/>
      </c>
      <c r="H166" s="4" t="str">
        <f t="shared" ca="1" si="3"/>
        <v/>
      </c>
    </row>
    <row r="167" spans="5:8">
      <c r="E167" t="str">
        <f>IF(B167="","",IFERROR(VLOOKUP(B167,csvratings!$A:$R,18,FALSE),"Not Found"))</f>
        <v/>
      </c>
      <c r="F167" t="str">
        <f>IF(C167="","",IFERROR(VLOOKUP(C167,csvratings!$A:$R,18,FALSE),"Not Found"))</f>
        <v/>
      </c>
      <c r="G167" t="str">
        <f>IF(D167="","",IFERROR(VLOOKUP(D167,csvratings!$A:$R,18,FALSE),"Not Found"))</f>
        <v/>
      </c>
      <c r="H167" s="4" t="str">
        <f t="shared" ca="1" si="3"/>
        <v/>
      </c>
    </row>
    <row r="168" spans="5:8">
      <c r="E168" t="str">
        <f>IF(B168="","",IFERROR(VLOOKUP(B168,csvratings!$A:$R,18,FALSE),"Not Found"))</f>
        <v/>
      </c>
      <c r="F168" t="str">
        <f>IF(C168="","",IFERROR(VLOOKUP(C168,csvratings!$A:$R,18,FALSE),"Not Found"))</f>
        <v/>
      </c>
      <c r="G168" t="str">
        <f>IF(D168="","",IFERROR(VLOOKUP(D168,csvratings!$A:$R,18,FALSE),"Not Found"))</f>
        <v/>
      </c>
      <c r="H168" s="4" t="str">
        <f t="shared" ca="1" si="3"/>
        <v/>
      </c>
    </row>
    <row r="169" spans="5:8">
      <c r="E169" t="str">
        <f>IF(B169="","",IFERROR(VLOOKUP(B169,csvratings!$A:$R,18,FALSE),"Not Found"))</f>
        <v/>
      </c>
      <c r="F169" t="str">
        <f>IF(C169="","",IFERROR(VLOOKUP(C169,csvratings!$A:$R,18,FALSE),"Not Found"))</f>
        <v/>
      </c>
      <c r="G169" t="str">
        <f>IF(D169="","",IFERROR(VLOOKUP(D169,csvratings!$A:$R,18,FALSE),"Not Found"))</f>
        <v/>
      </c>
      <c r="H169" s="4" t="str">
        <f t="shared" ca="1" si="3"/>
        <v/>
      </c>
    </row>
    <row r="170" spans="5:8">
      <c r="E170" t="str">
        <f>IF(B170="","",IFERROR(VLOOKUP(B170,csvratings!$A:$R,18,FALSE),"Not Found"))</f>
        <v/>
      </c>
      <c r="F170" t="str">
        <f>IF(C170="","",IFERROR(VLOOKUP(C170,csvratings!$A:$R,18,FALSE),"Not Found"))</f>
        <v/>
      </c>
      <c r="G170" t="str">
        <f>IF(D170="","",IFERROR(VLOOKUP(D170,csvratings!$A:$R,18,FALSE),"Not Found"))</f>
        <v/>
      </c>
      <c r="H170" s="4" t="str">
        <f t="shared" ca="1" si="3"/>
        <v/>
      </c>
    </row>
    <row r="171" spans="5:8">
      <c r="E171" t="str">
        <f>IF(B171="","",IFERROR(VLOOKUP(B171,csvratings!$A:$R,18,FALSE),"Not Found"))</f>
        <v/>
      </c>
      <c r="F171" t="str">
        <f>IF(C171="","",IFERROR(VLOOKUP(C171,csvratings!$A:$R,18,FALSE),"Not Found"))</f>
        <v/>
      </c>
      <c r="G171" t="str">
        <f>IF(D171="","",IFERROR(VLOOKUP(D171,csvratings!$A:$R,18,FALSE),"Not Found"))</f>
        <v/>
      </c>
      <c r="H171" s="4" t="str">
        <f t="shared" ca="1" si="3"/>
        <v/>
      </c>
    </row>
    <row r="172" spans="5:8">
      <c r="E172" t="str">
        <f>IF(B172="","",IFERROR(VLOOKUP(B172,csvratings!$A:$R,18,FALSE),"Not Found"))</f>
        <v/>
      </c>
      <c r="F172" t="str">
        <f>IF(C172="","",IFERROR(VLOOKUP(C172,csvratings!$A:$R,18,FALSE),"Not Found"))</f>
        <v/>
      </c>
      <c r="G172" t="str">
        <f>IF(D172="","",IFERROR(VLOOKUP(D172,csvratings!$A:$R,18,FALSE),"Not Found"))</f>
        <v/>
      </c>
      <c r="H172" s="4" t="str">
        <f t="shared" ca="1" si="3"/>
        <v/>
      </c>
    </row>
    <row r="173" spans="5:8">
      <c r="E173" t="str">
        <f>IF(B173="","",IFERROR(VLOOKUP(B173,csvratings!$A:$R,18,FALSE),"Not Found"))</f>
        <v/>
      </c>
      <c r="F173" t="str">
        <f>IF(C173="","",IFERROR(VLOOKUP(C173,csvratings!$A:$R,18,FALSE),"Not Found"))</f>
        <v/>
      </c>
      <c r="G173" t="str">
        <f>IF(D173="","",IFERROR(VLOOKUP(D173,csvratings!$A:$R,18,FALSE),"Not Found"))</f>
        <v/>
      </c>
      <c r="H173" s="4" t="str">
        <f t="shared" ca="1" si="3"/>
        <v/>
      </c>
    </row>
    <row r="174" spans="5:8">
      <c r="E174" t="str">
        <f>IF(B174="","",IFERROR(VLOOKUP(B174,csvratings!$A:$R,18,FALSE),"Not Found"))</f>
        <v/>
      </c>
      <c r="F174" t="str">
        <f>IF(C174="","",IFERROR(VLOOKUP(C174,csvratings!$A:$R,18,FALSE),"Not Found"))</f>
        <v/>
      </c>
      <c r="G174" t="str">
        <f>IF(D174="","",IFERROR(VLOOKUP(D174,csvratings!$A:$R,18,FALSE),"Not Found"))</f>
        <v/>
      </c>
      <c r="H174" s="4" t="str">
        <f t="shared" ca="1" si="3"/>
        <v/>
      </c>
    </row>
    <row r="175" spans="5:8">
      <c r="E175" t="str">
        <f>IF(B175="","",IFERROR(VLOOKUP(B175,csvratings!$A:$R,18,FALSE),"Not Found"))</f>
        <v/>
      </c>
      <c r="F175" t="str">
        <f>IF(C175="","",IFERROR(VLOOKUP(C175,csvratings!$A:$R,18,FALSE),"Not Found"))</f>
        <v/>
      </c>
      <c r="G175" t="str">
        <f>IF(D175="","",IFERROR(VLOOKUP(D175,csvratings!$A:$R,18,FALSE),"Not Found"))</f>
        <v/>
      </c>
      <c r="H175" s="4" t="str">
        <f t="shared" ca="1" si="3"/>
        <v/>
      </c>
    </row>
    <row r="176" spans="5:8">
      <c r="E176" t="str">
        <f>IF(B176="","",IFERROR(VLOOKUP(B176,csvratings!$A:$R,18,FALSE),"Not Found"))</f>
        <v/>
      </c>
      <c r="F176" t="str">
        <f>IF(C176="","",IFERROR(VLOOKUP(C176,csvratings!$A:$R,18,FALSE),"Not Found"))</f>
        <v/>
      </c>
      <c r="G176" t="str">
        <f>IF(D176="","",IFERROR(VLOOKUP(D176,csvratings!$A:$R,18,FALSE),"Not Found"))</f>
        <v/>
      </c>
      <c r="H176" s="4" t="str">
        <f t="shared" ca="1" si="3"/>
        <v/>
      </c>
    </row>
    <row r="177" spans="5:8">
      <c r="E177" t="str">
        <f>IF(B177="","",IFERROR(VLOOKUP(B177,csvratings!$A:$R,18,FALSE),"Not Found"))</f>
        <v/>
      </c>
      <c r="F177" t="str">
        <f>IF(C177="","",IFERROR(VLOOKUP(C177,csvratings!$A:$R,18,FALSE),"Not Found"))</f>
        <v/>
      </c>
      <c r="G177" t="str">
        <f>IF(D177="","",IFERROR(VLOOKUP(D177,csvratings!$A:$R,18,FALSE),"Not Found"))</f>
        <v/>
      </c>
      <c r="H177" s="4" t="str">
        <f t="shared" ca="1" si="3"/>
        <v/>
      </c>
    </row>
    <row r="178" spans="5:8">
      <c r="E178" t="str">
        <f>IF(B178="","",IFERROR(VLOOKUP(B178,csvratings!$A:$R,18,FALSE),"Not Found"))</f>
        <v/>
      </c>
      <c r="F178" t="str">
        <f>IF(C178="","",IFERROR(VLOOKUP(C178,csvratings!$A:$R,18,FALSE),"Not Found"))</f>
        <v/>
      </c>
      <c r="G178" t="str">
        <f>IF(D178="","",IFERROR(VLOOKUP(D178,csvratings!$A:$R,18,FALSE),"Not Found"))</f>
        <v/>
      </c>
      <c r="H178" s="4" t="str">
        <f t="shared" ca="1" si="3"/>
        <v/>
      </c>
    </row>
    <row r="179" spans="5:8">
      <c r="E179" t="str">
        <f>IF(B179="","",IFERROR(VLOOKUP(B179,csvratings!$A:$R,18,FALSE),"Not Found"))</f>
        <v/>
      </c>
      <c r="F179" t="str">
        <f>IF(C179="","",IFERROR(VLOOKUP(C179,csvratings!$A:$R,18,FALSE),"Not Found"))</f>
        <v/>
      </c>
      <c r="G179" t="str">
        <f>IF(D179="","",IFERROR(VLOOKUP(D179,csvratings!$A:$R,18,FALSE),"Not Found"))</f>
        <v/>
      </c>
      <c r="H179" s="4" t="str">
        <f t="shared" ca="1" si="3"/>
        <v/>
      </c>
    </row>
    <row r="180" spans="5:8">
      <c r="E180" t="str">
        <f>IF(B180="","",IFERROR(VLOOKUP(B180,csvratings!$A:$R,18,FALSE),"Not Found"))</f>
        <v/>
      </c>
      <c r="F180" t="str">
        <f>IF(C180="","",IFERROR(VLOOKUP(C180,csvratings!$A:$R,18,FALSE),"Not Found"))</f>
        <v/>
      </c>
      <c r="G180" t="str">
        <f>IF(D180="","",IFERROR(VLOOKUP(D180,csvratings!$A:$R,18,FALSE),"Not Found"))</f>
        <v/>
      </c>
      <c r="H180" s="4" t="str">
        <f t="shared" ca="1" si="3"/>
        <v/>
      </c>
    </row>
    <row r="181" spans="5:8">
      <c r="E181" t="str">
        <f>IF(B181="","",IFERROR(VLOOKUP(B181,csvratings!$A:$R,18,FALSE),"Not Found"))</f>
        <v/>
      </c>
      <c r="F181" t="str">
        <f>IF(C181="","",IFERROR(VLOOKUP(C181,csvratings!$A:$R,18,FALSE),"Not Found"))</f>
        <v/>
      </c>
      <c r="G181" t="str">
        <f>IF(D181="","",IFERROR(VLOOKUP(D181,csvratings!$A:$R,18,FALSE),"Not Found"))</f>
        <v/>
      </c>
      <c r="H181" s="4" t="str">
        <f t="shared" ca="1" si="3"/>
        <v/>
      </c>
    </row>
    <row r="182" spans="5:8">
      <c r="E182" t="str">
        <f>IF(B182="","",IFERROR(VLOOKUP(B182,csvratings!$A:$R,18,FALSE),"Not Found"))</f>
        <v/>
      </c>
      <c r="F182" t="str">
        <f>IF(C182="","",IFERROR(VLOOKUP(C182,csvratings!$A:$R,18,FALSE),"Not Found"))</f>
        <v/>
      </c>
      <c r="G182" t="str">
        <f>IF(D182="","",IFERROR(VLOOKUP(D182,csvratings!$A:$R,18,FALSE),"Not Found"))</f>
        <v/>
      </c>
      <c r="H182" s="4" t="str">
        <f t="shared" ca="1" si="3"/>
        <v/>
      </c>
    </row>
    <row r="183" spans="5:8">
      <c r="E183" t="str">
        <f>IF(B183="","",IFERROR(VLOOKUP(B183,csvratings!$A:$R,18,FALSE),"Not Found"))</f>
        <v/>
      </c>
      <c r="F183" t="str">
        <f>IF(C183="","",IFERROR(VLOOKUP(C183,csvratings!$A:$R,18,FALSE),"Not Found"))</f>
        <v/>
      </c>
      <c r="G183" t="str">
        <f>IF(D183="","",IFERROR(VLOOKUP(D183,csvratings!$A:$R,18,FALSE),"Not Found"))</f>
        <v/>
      </c>
      <c r="H183" s="4" t="str">
        <f t="shared" ca="1" si="3"/>
        <v/>
      </c>
    </row>
    <row r="184" spans="5:8">
      <c r="E184" t="str">
        <f>IF(B184="","",IFERROR(VLOOKUP(B184,csvratings!$A:$R,18,FALSE),"Not Found"))</f>
        <v/>
      </c>
      <c r="F184" t="str">
        <f>IF(C184="","",IFERROR(VLOOKUP(C184,csvratings!$A:$R,18,FALSE),"Not Found"))</f>
        <v/>
      </c>
      <c r="G184" t="str">
        <f>IF(D184="","",IFERROR(VLOOKUP(D184,csvratings!$A:$R,18,FALSE),"Not Found"))</f>
        <v/>
      </c>
      <c r="H184" s="4" t="str">
        <f t="shared" ca="1" si="3"/>
        <v/>
      </c>
    </row>
    <row r="185" spans="5:8">
      <c r="E185" t="str">
        <f>IF(B185="","",IFERROR(VLOOKUP(B185,csvratings!$A:$R,18,FALSE),"Not Found"))</f>
        <v/>
      </c>
      <c r="F185" t="str">
        <f>IF(C185="","",IFERROR(VLOOKUP(C185,csvratings!$A:$R,18,FALSE),"Not Found"))</f>
        <v/>
      </c>
      <c r="G185" t="str">
        <f>IF(D185="","",IFERROR(VLOOKUP(D185,csvratings!$A:$R,18,FALSE),"Not Found"))</f>
        <v/>
      </c>
      <c r="H185" s="4" t="str">
        <f t="shared" ca="1" si="3"/>
        <v/>
      </c>
    </row>
    <row r="186" spans="5:8">
      <c r="E186" t="str">
        <f>IF(B186="","",IFERROR(VLOOKUP(B186,csvratings!$A:$R,18,FALSE),"Not Found"))</f>
        <v/>
      </c>
      <c r="F186" t="str">
        <f>IF(C186="","",IFERROR(VLOOKUP(C186,csvratings!$A:$R,18,FALSE),"Not Found"))</f>
        <v/>
      </c>
      <c r="G186" t="str">
        <f>IF(D186="","",IFERROR(VLOOKUP(D186,csvratings!$A:$R,18,FALSE),"Not Found"))</f>
        <v/>
      </c>
      <c r="H186" s="4" t="str">
        <f t="shared" ca="1" si="3"/>
        <v/>
      </c>
    </row>
    <row r="187" spans="5:8">
      <c r="E187" t="str">
        <f>IF(B187="","",IFERROR(VLOOKUP(B187,csvratings!$A:$R,18,FALSE),"Not Found"))</f>
        <v/>
      </c>
      <c r="F187" t="str">
        <f>IF(C187="","",IFERROR(VLOOKUP(C187,csvratings!$A:$R,18,FALSE),"Not Found"))</f>
        <v/>
      </c>
      <c r="G187" t="str">
        <f>IF(D187="","",IFERROR(VLOOKUP(D187,csvratings!$A:$R,18,FALSE),"Not Found"))</f>
        <v/>
      </c>
      <c r="H187" s="4" t="str">
        <f t="shared" ca="1" si="3"/>
        <v/>
      </c>
    </row>
    <row r="188" spans="5:8">
      <c r="E188" t="str">
        <f>IF(B188="","",IFERROR(VLOOKUP(B188,csvratings!$A:$R,18,FALSE),"Not Found"))</f>
        <v/>
      </c>
      <c r="F188" t="str">
        <f>IF(C188="","",IFERROR(VLOOKUP(C188,csvratings!$A:$R,18,FALSE),"Not Found"))</f>
        <v/>
      </c>
      <c r="G188" t="str">
        <f>IF(D188="","",IFERROR(VLOOKUP(D188,csvratings!$A:$R,18,FALSE),"Not Found"))</f>
        <v/>
      </c>
      <c r="H188" s="4" t="str">
        <f t="shared" ca="1" si="3"/>
        <v/>
      </c>
    </row>
    <row r="189" spans="5:8">
      <c r="E189" t="str">
        <f>IF(B189="","",IFERROR(VLOOKUP(B189,csvratings!$A:$R,18,FALSE),"Not Found"))</f>
        <v/>
      </c>
      <c r="F189" t="str">
        <f>IF(C189="","",IFERROR(VLOOKUP(C189,csvratings!$A:$R,18,FALSE),"Not Found"))</f>
        <v/>
      </c>
      <c r="G189" t="str">
        <f>IF(D189="","",IFERROR(VLOOKUP(D189,csvratings!$A:$R,18,FALSE),"Not Found"))</f>
        <v/>
      </c>
      <c r="H189" s="4" t="str">
        <f t="shared" ca="1" si="3"/>
        <v/>
      </c>
    </row>
    <row r="190" spans="5:8">
      <c r="E190" t="str">
        <f>IF(B190="","",IFERROR(VLOOKUP(B190,csvratings!$A:$R,18,FALSE),"Not Found"))</f>
        <v/>
      </c>
      <c r="F190" t="str">
        <f>IF(C190="","",IFERROR(VLOOKUP(C190,csvratings!$A:$R,18,FALSE),"Not Found"))</f>
        <v/>
      </c>
      <c r="G190" t="str">
        <f>IF(D190="","",IFERROR(VLOOKUP(D190,csvratings!$A:$R,18,FALSE),"Not Found"))</f>
        <v/>
      </c>
      <c r="H190" s="4" t="str">
        <f t="shared" ca="1" si="3"/>
        <v/>
      </c>
    </row>
    <row r="191" spans="5:8">
      <c r="E191" t="str">
        <f>IF(B191="","",IFERROR(VLOOKUP(B191,csvratings!$A:$R,18,FALSE),"Not Found"))</f>
        <v/>
      </c>
      <c r="F191" t="str">
        <f>IF(C191="","",IFERROR(VLOOKUP(C191,csvratings!$A:$R,18,FALSE),"Not Found"))</f>
        <v/>
      </c>
      <c r="G191" t="str">
        <f>IF(D191="","",IFERROR(VLOOKUP(D191,csvratings!$A:$R,18,FALSE),"Not Found"))</f>
        <v/>
      </c>
      <c r="H191" s="4" t="str">
        <f t="shared" ca="1" si="3"/>
        <v/>
      </c>
    </row>
    <row r="192" spans="5:8">
      <c r="E192" t="str">
        <f>IF(B192="","",IFERROR(VLOOKUP(B192,csvratings!$A:$R,18,FALSE),"Not Found"))</f>
        <v/>
      </c>
      <c r="F192" t="str">
        <f>IF(C192="","",IFERROR(VLOOKUP(C192,csvratings!$A:$R,18,FALSE),"Not Found"))</f>
        <v/>
      </c>
      <c r="G192" t="str">
        <f>IF(D192="","",IFERROR(VLOOKUP(D192,csvratings!$A:$R,18,FALSE),"Not Found"))</f>
        <v/>
      </c>
      <c r="H192" s="4" t="str">
        <f t="shared" ca="1" si="3"/>
        <v/>
      </c>
    </row>
    <row r="193" spans="5:8">
      <c r="E193" t="str">
        <f>IF(B193="","",IFERROR(VLOOKUP(B193,csvratings!$A:$R,18,FALSE),"Not Found"))</f>
        <v/>
      </c>
      <c r="F193" t="str">
        <f>IF(C193="","",IFERROR(VLOOKUP(C193,csvratings!$A:$R,18,FALSE),"Not Found"))</f>
        <v/>
      </c>
      <c r="G193" t="str">
        <f>IF(D193="","",IFERROR(VLOOKUP(D193,csvratings!$A:$R,18,FALSE),"Not Found"))</f>
        <v/>
      </c>
      <c r="H193" s="4" t="str">
        <f t="shared" ca="1" si="3"/>
        <v/>
      </c>
    </row>
    <row r="194" spans="5:8">
      <c r="E194" t="str">
        <f>IF(B194="","",IFERROR(VLOOKUP(B194,csvratings!$A:$R,18,FALSE),"Not Found"))</f>
        <v/>
      </c>
      <c r="F194" t="str">
        <f>IF(C194="","",IFERROR(VLOOKUP(C194,csvratings!$A:$R,18,FALSE),"Not Found"))</f>
        <v/>
      </c>
      <c r="G194" t="str">
        <f>IF(D194="","",IFERROR(VLOOKUP(D194,csvratings!$A:$R,18,FALSE),"Not Found"))</f>
        <v/>
      </c>
      <c r="H194" s="4" t="str">
        <f t="shared" ca="1" si="3"/>
        <v/>
      </c>
    </row>
    <row r="195" spans="5:8">
      <c r="E195" t="str">
        <f>IF(B195="","",IFERROR(VLOOKUP(B195,csvratings!$A:$R,18,FALSE),"Not Found"))</f>
        <v/>
      </c>
      <c r="F195" t="str">
        <f>IF(C195="","",IFERROR(VLOOKUP(C195,csvratings!$A:$R,18,FALSE),"Not Found"))</f>
        <v/>
      </c>
      <c r="G195" t="str">
        <f>IF(D195="","",IFERROR(VLOOKUP(D195,csvratings!$A:$R,18,FALSE),"Not Found"))</f>
        <v/>
      </c>
      <c r="H195" s="4" t="str">
        <f t="shared" ref="H195:H258" ca="1" si="4">IF(AND(B195&lt;&gt;"",C195&lt;&gt;"",D195&lt;&gt;""),TODAY(),"")</f>
        <v/>
      </c>
    </row>
    <row r="196" spans="5:8">
      <c r="E196" t="str">
        <f>IF(B196="","",IFERROR(VLOOKUP(B196,csvratings!$A:$R,18,FALSE),"Not Found"))</f>
        <v/>
      </c>
      <c r="F196" t="str">
        <f>IF(C196="","",IFERROR(VLOOKUP(C196,csvratings!$A:$R,18,FALSE),"Not Found"))</f>
        <v/>
      </c>
      <c r="G196" t="str">
        <f>IF(D196="","",IFERROR(VLOOKUP(D196,csvratings!$A:$R,18,FALSE),"Not Found"))</f>
        <v/>
      </c>
      <c r="H196" s="4" t="str">
        <f t="shared" ca="1" si="4"/>
        <v/>
      </c>
    </row>
    <row r="197" spans="5:8">
      <c r="E197" t="str">
        <f>IF(B197="","",IFERROR(VLOOKUP(B197,csvratings!$A:$R,18,FALSE),"Not Found"))</f>
        <v/>
      </c>
      <c r="F197" t="str">
        <f>IF(C197="","",IFERROR(VLOOKUP(C197,csvratings!$A:$R,18,FALSE),"Not Found"))</f>
        <v/>
      </c>
      <c r="G197" t="str">
        <f>IF(D197="","",IFERROR(VLOOKUP(D197,csvratings!$A:$R,18,FALSE),"Not Found"))</f>
        <v/>
      </c>
      <c r="H197" s="4" t="str">
        <f t="shared" ca="1" si="4"/>
        <v/>
      </c>
    </row>
    <row r="198" spans="5:8">
      <c r="E198" t="str">
        <f>IF(B198="","",IFERROR(VLOOKUP(B198,csvratings!$A:$R,18,FALSE),"Not Found"))</f>
        <v/>
      </c>
      <c r="F198" t="str">
        <f>IF(C198="","",IFERROR(VLOOKUP(C198,csvratings!$A:$R,18,FALSE),"Not Found"))</f>
        <v/>
      </c>
      <c r="G198" t="str">
        <f>IF(D198="","",IFERROR(VLOOKUP(D198,csvratings!$A:$R,18,FALSE),"Not Found"))</f>
        <v/>
      </c>
      <c r="H198" s="4" t="str">
        <f t="shared" ca="1" si="4"/>
        <v/>
      </c>
    </row>
    <row r="199" spans="5:8">
      <c r="E199" t="str">
        <f>IF(B199="","",IFERROR(VLOOKUP(B199,csvratings!$A:$R,18,FALSE),"Not Found"))</f>
        <v/>
      </c>
      <c r="F199" t="str">
        <f>IF(C199="","",IFERROR(VLOOKUP(C199,csvratings!$A:$R,18,FALSE),"Not Found"))</f>
        <v/>
      </c>
      <c r="G199" t="str">
        <f>IF(D199="","",IFERROR(VLOOKUP(D199,csvratings!$A:$R,18,FALSE),"Not Found"))</f>
        <v/>
      </c>
      <c r="H199" s="4" t="str">
        <f t="shared" ca="1" si="4"/>
        <v/>
      </c>
    </row>
    <row r="200" spans="5:8">
      <c r="E200" t="str">
        <f>IF(B200="","",IFERROR(VLOOKUP(B200,csvratings!$A:$R,18,FALSE),"Not Found"))</f>
        <v/>
      </c>
      <c r="F200" t="str">
        <f>IF(C200="","",IFERROR(VLOOKUP(C200,csvratings!$A:$R,18,FALSE),"Not Found"))</f>
        <v/>
      </c>
      <c r="G200" t="str">
        <f>IF(D200="","",IFERROR(VLOOKUP(D200,csvratings!$A:$R,18,FALSE),"Not Found"))</f>
        <v/>
      </c>
      <c r="H200" s="4" t="str">
        <f t="shared" ca="1" si="4"/>
        <v/>
      </c>
    </row>
    <row r="201" spans="5:8">
      <c r="E201" t="str">
        <f>IF(B201="","",IFERROR(VLOOKUP(B201,csvratings!$A:$R,18,FALSE),"Not Found"))</f>
        <v/>
      </c>
      <c r="F201" t="str">
        <f>IF(C201="","",IFERROR(VLOOKUP(C201,csvratings!$A:$R,18,FALSE),"Not Found"))</f>
        <v/>
      </c>
      <c r="G201" t="str">
        <f>IF(D201="","",IFERROR(VLOOKUP(D201,csvratings!$A:$R,18,FALSE),"Not Found"))</f>
        <v/>
      </c>
      <c r="H201" s="4" t="str">
        <f t="shared" ca="1" si="4"/>
        <v/>
      </c>
    </row>
    <row r="202" spans="5:8">
      <c r="E202" t="str">
        <f>IF(B202="","",IFERROR(VLOOKUP(B202,csvratings!$A:$R,18,FALSE),"Not Found"))</f>
        <v/>
      </c>
      <c r="F202" t="str">
        <f>IF(C202="","",IFERROR(VLOOKUP(C202,csvratings!$A:$R,18,FALSE),"Not Found"))</f>
        <v/>
      </c>
      <c r="G202" t="str">
        <f>IF(D202="","",IFERROR(VLOOKUP(D202,csvratings!$A:$R,18,FALSE),"Not Found"))</f>
        <v/>
      </c>
      <c r="H202" s="4" t="str">
        <f t="shared" ca="1" si="4"/>
        <v/>
      </c>
    </row>
    <row r="203" spans="5:8">
      <c r="E203" t="str">
        <f>IF(B203="","",IFERROR(VLOOKUP(B203,csvratings!$A:$R,18,FALSE),"Not Found"))</f>
        <v/>
      </c>
      <c r="F203" t="str">
        <f>IF(C203="","",IFERROR(VLOOKUP(C203,csvratings!$A:$R,18,FALSE),"Not Found"))</f>
        <v/>
      </c>
      <c r="G203" t="str">
        <f>IF(D203="","",IFERROR(VLOOKUP(D203,csvratings!$A:$R,18,FALSE),"Not Found"))</f>
        <v/>
      </c>
      <c r="H203" s="4" t="str">
        <f t="shared" ca="1" si="4"/>
        <v/>
      </c>
    </row>
    <row r="204" spans="5:8">
      <c r="E204" t="str">
        <f>IF(B204="","",IFERROR(VLOOKUP(B204,csvratings!$A:$R,18,FALSE),"Not Found"))</f>
        <v/>
      </c>
      <c r="F204" t="str">
        <f>IF(C204="","",IFERROR(VLOOKUP(C204,csvratings!$A:$R,18,FALSE),"Not Found"))</f>
        <v/>
      </c>
      <c r="G204" t="str">
        <f>IF(D204="","",IFERROR(VLOOKUP(D204,csvratings!$A:$R,18,FALSE),"Not Found"))</f>
        <v/>
      </c>
      <c r="H204" s="4" t="str">
        <f t="shared" ca="1" si="4"/>
        <v/>
      </c>
    </row>
    <row r="205" spans="5:8">
      <c r="E205" t="str">
        <f>IF(B205="","",IFERROR(VLOOKUP(B205,csvratings!$A:$R,18,FALSE),"Not Found"))</f>
        <v/>
      </c>
      <c r="F205" t="str">
        <f>IF(C205="","",IFERROR(VLOOKUP(C205,csvratings!$A:$R,18,FALSE),"Not Found"))</f>
        <v/>
      </c>
      <c r="G205" t="str">
        <f>IF(D205="","",IFERROR(VLOOKUP(D205,csvratings!$A:$R,18,FALSE),"Not Found"))</f>
        <v/>
      </c>
      <c r="H205" s="4" t="str">
        <f t="shared" ca="1" si="4"/>
        <v/>
      </c>
    </row>
    <row r="206" spans="5:8">
      <c r="E206" t="str">
        <f>IF(B206="","",IFERROR(VLOOKUP(B206,csvratings!$A:$R,18,FALSE),"Not Found"))</f>
        <v/>
      </c>
      <c r="F206" t="str">
        <f>IF(C206="","",IFERROR(VLOOKUP(C206,csvratings!$A:$R,18,FALSE),"Not Found"))</f>
        <v/>
      </c>
      <c r="G206" t="str">
        <f>IF(D206="","",IFERROR(VLOOKUP(D206,csvratings!$A:$R,18,FALSE),"Not Found"))</f>
        <v/>
      </c>
      <c r="H206" s="4" t="str">
        <f t="shared" ca="1" si="4"/>
        <v/>
      </c>
    </row>
    <row r="207" spans="5:8">
      <c r="E207" t="str">
        <f>IF(B207="","",IFERROR(VLOOKUP(B207,csvratings!$A:$R,18,FALSE),"Not Found"))</f>
        <v/>
      </c>
      <c r="F207" t="str">
        <f>IF(C207="","",IFERROR(VLOOKUP(C207,csvratings!$A:$R,18,FALSE),"Not Found"))</f>
        <v/>
      </c>
      <c r="G207" t="str">
        <f>IF(D207="","",IFERROR(VLOOKUP(D207,csvratings!$A:$R,18,FALSE),"Not Found"))</f>
        <v/>
      </c>
      <c r="H207" s="4" t="str">
        <f t="shared" ca="1" si="4"/>
        <v/>
      </c>
    </row>
    <row r="208" spans="5:8">
      <c r="E208" t="str">
        <f>IF(B208="","",IFERROR(VLOOKUP(B208,csvratings!$A:$R,18,FALSE),"Not Found"))</f>
        <v/>
      </c>
      <c r="F208" t="str">
        <f>IF(C208="","",IFERROR(VLOOKUP(C208,csvratings!$A:$R,18,FALSE),"Not Found"))</f>
        <v/>
      </c>
      <c r="G208" t="str">
        <f>IF(D208="","",IFERROR(VLOOKUP(D208,csvratings!$A:$R,18,FALSE),"Not Found"))</f>
        <v/>
      </c>
      <c r="H208" s="4" t="str">
        <f t="shared" ca="1" si="4"/>
        <v/>
      </c>
    </row>
    <row r="209" spans="5:8">
      <c r="E209" t="str">
        <f>IF(B209="","",IFERROR(VLOOKUP(B209,csvratings!$A:$R,18,FALSE),"Not Found"))</f>
        <v/>
      </c>
      <c r="F209" t="str">
        <f>IF(C209="","",IFERROR(VLOOKUP(C209,csvratings!$A:$R,18,FALSE),"Not Found"))</f>
        <v/>
      </c>
      <c r="G209" t="str">
        <f>IF(D209="","",IFERROR(VLOOKUP(D209,csvratings!$A:$R,18,FALSE),"Not Found"))</f>
        <v/>
      </c>
      <c r="H209" s="4" t="str">
        <f t="shared" ca="1" si="4"/>
        <v/>
      </c>
    </row>
    <row r="210" spans="5:8">
      <c r="E210" t="str">
        <f>IF(B210="","",IFERROR(VLOOKUP(B210,csvratings!$A:$R,18,FALSE),"Not Found"))</f>
        <v/>
      </c>
      <c r="F210" t="str">
        <f>IF(C210="","",IFERROR(VLOOKUP(C210,csvratings!$A:$R,18,FALSE),"Not Found"))</f>
        <v/>
      </c>
      <c r="G210" t="str">
        <f>IF(D210="","",IFERROR(VLOOKUP(D210,csvratings!$A:$R,18,FALSE),"Not Found"))</f>
        <v/>
      </c>
      <c r="H210" s="4" t="str">
        <f t="shared" ca="1" si="4"/>
        <v/>
      </c>
    </row>
    <row r="211" spans="5:8">
      <c r="E211" t="str">
        <f>IF(B211="","",IFERROR(VLOOKUP(B211,csvratings!$A:$R,18,FALSE),"Not Found"))</f>
        <v/>
      </c>
      <c r="F211" t="str">
        <f>IF(C211="","",IFERROR(VLOOKUP(C211,csvratings!$A:$R,18,FALSE),"Not Found"))</f>
        <v/>
      </c>
      <c r="G211" t="str">
        <f>IF(D211="","",IFERROR(VLOOKUP(D211,csvratings!$A:$R,18,FALSE),"Not Found"))</f>
        <v/>
      </c>
      <c r="H211" s="4" t="str">
        <f t="shared" ca="1" si="4"/>
        <v/>
      </c>
    </row>
    <row r="212" spans="5:8">
      <c r="E212" t="str">
        <f>IF(B212="","",IFERROR(VLOOKUP(B212,csvratings!$A:$R,18,FALSE),"Not Found"))</f>
        <v/>
      </c>
      <c r="F212" t="str">
        <f>IF(C212="","",IFERROR(VLOOKUP(C212,csvratings!$A:$R,18,FALSE),"Not Found"))</f>
        <v/>
      </c>
      <c r="G212" t="str">
        <f>IF(D212="","",IFERROR(VLOOKUP(D212,csvratings!$A:$R,18,FALSE),"Not Found"))</f>
        <v/>
      </c>
      <c r="H212" s="4" t="str">
        <f t="shared" ca="1" si="4"/>
        <v/>
      </c>
    </row>
    <row r="213" spans="5:8">
      <c r="E213" t="str">
        <f>IF(B213="","",IFERROR(VLOOKUP(B213,csvratings!$A:$R,18,FALSE),"Not Found"))</f>
        <v/>
      </c>
      <c r="F213" t="str">
        <f>IF(C213="","",IFERROR(VLOOKUP(C213,csvratings!$A:$R,18,FALSE),"Not Found"))</f>
        <v/>
      </c>
      <c r="G213" t="str">
        <f>IF(D213="","",IFERROR(VLOOKUP(D213,csvratings!$A:$R,18,FALSE),"Not Found"))</f>
        <v/>
      </c>
      <c r="H213" s="4" t="str">
        <f t="shared" ca="1" si="4"/>
        <v/>
      </c>
    </row>
    <row r="214" spans="5:8">
      <c r="E214" t="str">
        <f>IF(B214="","",IFERROR(VLOOKUP(B214,csvratings!$A:$R,18,FALSE),"Not Found"))</f>
        <v/>
      </c>
      <c r="F214" t="str">
        <f>IF(C214="","",IFERROR(VLOOKUP(C214,csvratings!$A:$R,18,FALSE),"Not Found"))</f>
        <v/>
      </c>
      <c r="G214" t="str">
        <f>IF(D214="","",IFERROR(VLOOKUP(D214,csvratings!$A:$R,18,FALSE),"Not Found"))</f>
        <v/>
      </c>
      <c r="H214" s="4" t="str">
        <f t="shared" ca="1" si="4"/>
        <v/>
      </c>
    </row>
    <row r="215" spans="5:8">
      <c r="E215" t="str">
        <f>IF(B215="","",IFERROR(VLOOKUP(B215,csvratings!$A:$R,18,FALSE),"Not Found"))</f>
        <v/>
      </c>
      <c r="F215" t="str">
        <f>IF(C215="","",IFERROR(VLOOKUP(C215,csvratings!$A:$R,18,FALSE),"Not Found"))</f>
        <v/>
      </c>
      <c r="G215" t="str">
        <f>IF(D215="","",IFERROR(VLOOKUP(D215,csvratings!$A:$R,18,FALSE),"Not Found"))</f>
        <v/>
      </c>
      <c r="H215" s="4" t="str">
        <f t="shared" ca="1" si="4"/>
        <v/>
      </c>
    </row>
    <row r="216" spans="5:8">
      <c r="E216" t="str">
        <f>IF(B216="","",IFERROR(VLOOKUP(B216,csvratings!$A:$R,18,FALSE),"Not Found"))</f>
        <v/>
      </c>
      <c r="F216" t="str">
        <f>IF(C216="","",IFERROR(VLOOKUP(C216,csvratings!$A:$R,18,FALSE),"Not Found"))</f>
        <v/>
      </c>
      <c r="G216" t="str">
        <f>IF(D216="","",IFERROR(VLOOKUP(D216,csvratings!$A:$R,18,FALSE),"Not Found"))</f>
        <v/>
      </c>
      <c r="H216" s="4" t="str">
        <f t="shared" ca="1" si="4"/>
        <v/>
      </c>
    </row>
    <row r="217" spans="5:8">
      <c r="E217" t="str">
        <f>IF(B217="","",IFERROR(VLOOKUP(B217,csvratings!$A:$R,18,FALSE),"Not Found"))</f>
        <v/>
      </c>
      <c r="F217" t="str">
        <f>IF(C217="","",IFERROR(VLOOKUP(C217,csvratings!$A:$R,18,FALSE),"Not Found"))</f>
        <v/>
      </c>
      <c r="G217" t="str">
        <f>IF(D217="","",IFERROR(VLOOKUP(D217,csvratings!$A:$R,18,FALSE),"Not Found"))</f>
        <v/>
      </c>
      <c r="H217" s="4" t="str">
        <f t="shared" ca="1" si="4"/>
        <v/>
      </c>
    </row>
    <row r="218" spans="5:8">
      <c r="E218" t="str">
        <f>IF(B218="","",IFERROR(VLOOKUP(B218,csvratings!$A:$R,18,FALSE),"Not Found"))</f>
        <v/>
      </c>
      <c r="F218" t="str">
        <f>IF(C218="","",IFERROR(VLOOKUP(C218,csvratings!$A:$R,18,FALSE),"Not Found"))</f>
        <v/>
      </c>
      <c r="G218" t="str">
        <f>IF(D218="","",IFERROR(VLOOKUP(D218,csvratings!$A:$R,18,FALSE),"Not Found"))</f>
        <v/>
      </c>
      <c r="H218" s="4" t="str">
        <f t="shared" ca="1" si="4"/>
        <v/>
      </c>
    </row>
    <row r="219" spans="5:8">
      <c r="E219" t="str">
        <f>IF(B219="","",IFERROR(VLOOKUP(B219,csvratings!$A:$R,18,FALSE),"Not Found"))</f>
        <v/>
      </c>
      <c r="F219" t="str">
        <f>IF(C219="","",IFERROR(VLOOKUP(C219,csvratings!$A:$R,18,FALSE),"Not Found"))</f>
        <v/>
      </c>
      <c r="G219" t="str">
        <f>IF(D219="","",IFERROR(VLOOKUP(D219,csvratings!$A:$R,18,FALSE),"Not Found"))</f>
        <v/>
      </c>
      <c r="H219" s="4" t="str">
        <f t="shared" ca="1" si="4"/>
        <v/>
      </c>
    </row>
    <row r="220" spans="5:8">
      <c r="E220" t="str">
        <f>IF(B220="","",IFERROR(VLOOKUP(B220,csvratings!$A:$R,18,FALSE),"Not Found"))</f>
        <v/>
      </c>
      <c r="F220" t="str">
        <f>IF(C220="","",IFERROR(VLOOKUP(C220,csvratings!$A:$R,18,FALSE),"Not Found"))</f>
        <v/>
      </c>
      <c r="G220" t="str">
        <f>IF(D220="","",IFERROR(VLOOKUP(D220,csvratings!$A:$R,18,FALSE),"Not Found"))</f>
        <v/>
      </c>
      <c r="H220" s="4" t="str">
        <f t="shared" ca="1" si="4"/>
        <v/>
      </c>
    </row>
    <row r="221" spans="5:8">
      <c r="E221" t="str">
        <f>IF(B221="","",IFERROR(VLOOKUP(B221,csvratings!$A:$R,18,FALSE),"Not Found"))</f>
        <v/>
      </c>
      <c r="F221" t="str">
        <f>IF(C221="","",IFERROR(VLOOKUP(C221,csvratings!$A:$R,18,FALSE),"Not Found"))</f>
        <v/>
      </c>
      <c r="G221" t="str">
        <f>IF(D221="","",IFERROR(VLOOKUP(D221,csvratings!$A:$R,18,FALSE),"Not Found"))</f>
        <v/>
      </c>
      <c r="H221" s="4" t="str">
        <f t="shared" ca="1" si="4"/>
        <v/>
      </c>
    </row>
    <row r="222" spans="5:8">
      <c r="E222" t="str">
        <f>IF(B222="","",IFERROR(VLOOKUP(B222,csvratings!$A:$R,18,FALSE),"Not Found"))</f>
        <v/>
      </c>
      <c r="F222" t="str">
        <f>IF(C222="","",IFERROR(VLOOKUP(C222,csvratings!$A:$R,18,FALSE),"Not Found"))</f>
        <v/>
      </c>
      <c r="G222" t="str">
        <f>IF(D222="","",IFERROR(VLOOKUP(D222,csvratings!$A:$R,18,FALSE),"Not Found"))</f>
        <v/>
      </c>
      <c r="H222" s="4" t="str">
        <f t="shared" ca="1" si="4"/>
        <v/>
      </c>
    </row>
    <row r="223" spans="5:8">
      <c r="E223" t="str">
        <f>IF(B223="","",IFERROR(VLOOKUP(B223,csvratings!$A:$R,18,FALSE),"Not Found"))</f>
        <v/>
      </c>
      <c r="F223" t="str">
        <f>IF(C223="","",IFERROR(VLOOKUP(C223,csvratings!$A:$R,18,FALSE),"Not Found"))</f>
        <v/>
      </c>
      <c r="G223" t="str">
        <f>IF(D223="","",IFERROR(VLOOKUP(D223,csvratings!$A:$R,18,FALSE),"Not Found"))</f>
        <v/>
      </c>
      <c r="H223" s="4" t="str">
        <f t="shared" ca="1" si="4"/>
        <v/>
      </c>
    </row>
    <row r="224" spans="5:8">
      <c r="E224" t="str">
        <f>IF(B224="","",IFERROR(VLOOKUP(B224,csvratings!$A:$R,18,FALSE),"Not Found"))</f>
        <v/>
      </c>
      <c r="F224" t="str">
        <f>IF(C224="","",IFERROR(VLOOKUP(C224,csvratings!$A:$R,18,FALSE),"Not Found"))</f>
        <v/>
      </c>
      <c r="G224" t="str">
        <f>IF(D224="","",IFERROR(VLOOKUP(D224,csvratings!$A:$R,18,FALSE),"Not Found"))</f>
        <v/>
      </c>
      <c r="H224" s="4" t="str">
        <f t="shared" ca="1" si="4"/>
        <v/>
      </c>
    </row>
    <row r="225" spans="5:8">
      <c r="E225" t="str">
        <f>IF(B225="","",IFERROR(VLOOKUP(B225,csvratings!$A:$R,18,FALSE),"Not Found"))</f>
        <v/>
      </c>
      <c r="F225" t="str">
        <f>IF(C225="","",IFERROR(VLOOKUP(C225,csvratings!$A:$R,18,FALSE),"Not Found"))</f>
        <v/>
      </c>
      <c r="G225" t="str">
        <f>IF(D225="","",IFERROR(VLOOKUP(D225,csvratings!$A:$R,18,FALSE),"Not Found"))</f>
        <v/>
      </c>
      <c r="H225" s="4" t="str">
        <f t="shared" ca="1" si="4"/>
        <v/>
      </c>
    </row>
    <row r="226" spans="5:8">
      <c r="E226" t="str">
        <f>IF(B226="","",IFERROR(VLOOKUP(B226,csvratings!$A:$R,18,FALSE),"Not Found"))</f>
        <v/>
      </c>
      <c r="F226" t="str">
        <f>IF(C226="","",IFERROR(VLOOKUP(C226,csvratings!$A:$R,18,FALSE),"Not Found"))</f>
        <v/>
      </c>
      <c r="G226" t="str">
        <f>IF(D226="","",IFERROR(VLOOKUP(D226,csvratings!$A:$R,18,FALSE),"Not Found"))</f>
        <v/>
      </c>
      <c r="H226" s="4" t="str">
        <f t="shared" ca="1" si="4"/>
        <v/>
      </c>
    </row>
    <row r="227" spans="5:8">
      <c r="E227" t="str">
        <f>IF(B227="","",IFERROR(VLOOKUP(B227,csvratings!$A:$R,18,FALSE),"Not Found"))</f>
        <v/>
      </c>
      <c r="F227" t="str">
        <f>IF(C227="","",IFERROR(VLOOKUP(C227,csvratings!$A:$R,18,FALSE),"Not Found"))</f>
        <v/>
      </c>
      <c r="G227" t="str">
        <f>IF(D227="","",IFERROR(VLOOKUP(D227,csvratings!$A:$R,18,FALSE),"Not Found"))</f>
        <v/>
      </c>
      <c r="H227" s="4" t="str">
        <f t="shared" ca="1" si="4"/>
        <v/>
      </c>
    </row>
    <row r="228" spans="5:8">
      <c r="E228" t="str">
        <f>IF(B228="","",IFERROR(VLOOKUP(B228,csvratings!$A:$R,18,FALSE),"Not Found"))</f>
        <v/>
      </c>
      <c r="F228" t="str">
        <f>IF(C228="","",IFERROR(VLOOKUP(C228,csvratings!$A:$R,18,FALSE),"Not Found"))</f>
        <v/>
      </c>
      <c r="G228" t="str">
        <f>IF(D228="","",IFERROR(VLOOKUP(D228,csvratings!$A:$R,18,FALSE),"Not Found"))</f>
        <v/>
      </c>
      <c r="H228" s="4" t="str">
        <f t="shared" ca="1" si="4"/>
        <v/>
      </c>
    </row>
    <row r="229" spans="5:8">
      <c r="E229" t="str">
        <f>IF(B229="","",IFERROR(VLOOKUP(B229,csvratings!$A:$R,18,FALSE),"Not Found"))</f>
        <v/>
      </c>
      <c r="F229" t="str">
        <f>IF(C229="","",IFERROR(VLOOKUP(C229,csvratings!$A:$R,18,FALSE),"Not Found"))</f>
        <v/>
      </c>
      <c r="G229" t="str">
        <f>IF(D229="","",IFERROR(VLOOKUP(D229,csvratings!$A:$R,18,FALSE),"Not Found"))</f>
        <v/>
      </c>
      <c r="H229" s="4" t="str">
        <f t="shared" ca="1" si="4"/>
        <v/>
      </c>
    </row>
    <row r="230" spans="5:8">
      <c r="E230" t="str">
        <f>IF(B230="","",IFERROR(VLOOKUP(B230,csvratings!$A:$R,18,FALSE),"Not Found"))</f>
        <v/>
      </c>
      <c r="F230" t="str">
        <f>IF(C230="","",IFERROR(VLOOKUP(C230,csvratings!$A:$R,18,FALSE),"Not Found"))</f>
        <v/>
      </c>
      <c r="G230" t="str">
        <f>IF(D230="","",IFERROR(VLOOKUP(D230,csvratings!$A:$R,18,FALSE),"Not Found"))</f>
        <v/>
      </c>
      <c r="H230" s="4" t="str">
        <f t="shared" ca="1" si="4"/>
        <v/>
      </c>
    </row>
    <row r="231" spans="5:8">
      <c r="E231" t="str">
        <f>IF(B231="","",IFERROR(VLOOKUP(B231,csvratings!$A:$R,18,FALSE),"Not Found"))</f>
        <v/>
      </c>
      <c r="F231" t="str">
        <f>IF(C231="","",IFERROR(VLOOKUP(C231,csvratings!$A:$R,18,FALSE),"Not Found"))</f>
        <v/>
      </c>
      <c r="G231" t="str">
        <f>IF(D231="","",IFERROR(VLOOKUP(D231,csvratings!$A:$R,18,FALSE),"Not Found"))</f>
        <v/>
      </c>
      <c r="H231" s="4" t="str">
        <f t="shared" ca="1" si="4"/>
        <v/>
      </c>
    </row>
    <row r="232" spans="5:8">
      <c r="E232" t="str">
        <f>IF(B232="","",IFERROR(VLOOKUP(B232,csvratings!$A:$R,18,FALSE),"Not Found"))</f>
        <v/>
      </c>
      <c r="F232" t="str">
        <f>IF(C232="","",IFERROR(VLOOKUP(C232,csvratings!$A:$R,18,FALSE),"Not Found"))</f>
        <v/>
      </c>
      <c r="G232" t="str">
        <f>IF(D232="","",IFERROR(VLOOKUP(D232,csvratings!$A:$R,18,FALSE),"Not Found"))</f>
        <v/>
      </c>
      <c r="H232" s="4" t="str">
        <f t="shared" ca="1" si="4"/>
        <v/>
      </c>
    </row>
    <row r="233" spans="5:8">
      <c r="E233" t="str">
        <f>IF(B233="","",IFERROR(VLOOKUP(B233,csvratings!$A:$R,18,FALSE),"Not Found"))</f>
        <v/>
      </c>
      <c r="F233" t="str">
        <f>IF(C233="","",IFERROR(VLOOKUP(C233,csvratings!$A:$R,18,FALSE),"Not Found"))</f>
        <v/>
      </c>
      <c r="G233" t="str">
        <f>IF(D233="","",IFERROR(VLOOKUP(D233,csvratings!$A:$R,18,FALSE),"Not Found"))</f>
        <v/>
      </c>
      <c r="H233" s="4" t="str">
        <f t="shared" ca="1" si="4"/>
        <v/>
      </c>
    </row>
    <row r="234" spans="5:8">
      <c r="E234" t="str">
        <f>IF(B234="","",IFERROR(VLOOKUP(B234,csvratings!$A:$R,18,FALSE),"Not Found"))</f>
        <v/>
      </c>
      <c r="F234" t="str">
        <f>IF(C234="","",IFERROR(VLOOKUP(C234,csvratings!$A:$R,18,FALSE),"Not Found"))</f>
        <v/>
      </c>
      <c r="G234" t="str">
        <f>IF(D234="","",IFERROR(VLOOKUP(D234,csvratings!$A:$R,18,FALSE),"Not Found"))</f>
        <v/>
      </c>
      <c r="H234" s="4" t="str">
        <f t="shared" ca="1" si="4"/>
        <v/>
      </c>
    </row>
    <row r="235" spans="5:8">
      <c r="E235" t="str">
        <f>IF(B235="","",IFERROR(VLOOKUP(B235,csvratings!$A:$R,18,FALSE),"Not Found"))</f>
        <v/>
      </c>
      <c r="F235" t="str">
        <f>IF(C235="","",IFERROR(VLOOKUP(C235,csvratings!$A:$R,18,FALSE),"Not Found"))</f>
        <v/>
      </c>
      <c r="G235" t="str">
        <f>IF(D235="","",IFERROR(VLOOKUP(D235,csvratings!$A:$R,18,FALSE),"Not Found"))</f>
        <v/>
      </c>
      <c r="H235" s="4" t="str">
        <f t="shared" ca="1" si="4"/>
        <v/>
      </c>
    </row>
    <row r="236" spans="5:8">
      <c r="E236" t="str">
        <f>IF(B236="","",IFERROR(VLOOKUP(B236,csvratings!$A:$R,18,FALSE),"Not Found"))</f>
        <v/>
      </c>
      <c r="F236" t="str">
        <f>IF(C236="","",IFERROR(VLOOKUP(C236,csvratings!$A:$R,18,FALSE),"Not Found"))</f>
        <v/>
      </c>
      <c r="G236" t="str">
        <f>IF(D236="","",IFERROR(VLOOKUP(D236,csvratings!$A:$R,18,FALSE),"Not Found"))</f>
        <v/>
      </c>
      <c r="H236" s="4" t="str">
        <f t="shared" ca="1" si="4"/>
        <v/>
      </c>
    </row>
    <row r="237" spans="5:8">
      <c r="E237" t="str">
        <f>IF(B237="","",IFERROR(VLOOKUP(B237,csvratings!$A:$R,18,FALSE),"Not Found"))</f>
        <v/>
      </c>
      <c r="F237" t="str">
        <f>IF(C237="","",IFERROR(VLOOKUP(C237,csvratings!$A:$R,18,FALSE),"Not Found"))</f>
        <v/>
      </c>
      <c r="G237" t="str">
        <f>IF(D237="","",IFERROR(VLOOKUP(D237,csvratings!$A:$R,18,FALSE),"Not Found"))</f>
        <v/>
      </c>
      <c r="H237" s="4" t="str">
        <f t="shared" ca="1" si="4"/>
        <v/>
      </c>
    </row>
    <row r="238" spans="5:8">
      <c r="E238" t="str">
        <f>IF(B238="","",IFERROR(VLOOKUP(B238,csvratings!$A:$R,18,FALSE),"Not Found"))</f>
        <v/>
      </c>
      <c r="F238" t="str">
        <f>IF(C238="","",IFERROR(VLOOKUP(C238,csvratings!$A:$R,18,FALSE),"Not Found"))</f>
        <v/>
      </c>
      <c r="G238" t="str">
        <f>IF(D238="","",IFERROR(VLOOKUP(D238,csvratings!$A:$R,18,FALSE),"Not Found"))</f>
        <v/>
      </c>
      <c r="H238" s="4" t="str">
        <f t="shared" ca="1" si="4"/>
        <v/>
      </c>
    </row>
    <row r="239" spans="5:8">
      <c r="E239" t="str">
        <f>IF(B239="","",IFERROR(VLOOKUP(B239,csvratings!$A:$R,18,FALSE),"Not Found"))</f>
        <v/>
      </c>
      <c r="F239" t="str">
        <f>IF(C239="","",IFERROR(VLOOKUP(C239,csvratings!$A:$R,18,FALSE),"Not Found"))</f>
        <v/>
      </c>
      <c r="G239" t="str">
        <f>IF(D239="","",IFERROR(VLOOKUP(D239,csvratings!$A:$R,18,FALSE),"Not Found"))</f>
        <v/>
      </c>
      <c r="H239" s="4" t="str">
        <f t="shared" ca="1" si="4"/>
        <v/>
      </c>
    </row>
    <row r="240" spans="5:8">
      <c r="E240" t="str">
        <f>IF(B240="","",IFERROR(VLOOKUP(B240,csvratings!$A:$R,18,FALSE),"Not Found"))</f>
        <v/>
      </c>
      <c r="F240" t="str">
        <f>IF(C240="","",IFERROR(VLOOKUP(C240,csvratings!$A:$R,18,FALSE),"Not Found"))</f>
        <v/>
      </c>
      <c r="G240" t="str">
        <f>IF(D240="","",IFERROR(VLOOKUP(D240,csvratings!$A:$R,18,FALSE),"Not Found"))</f>
        <v/>
      </c>
      <c r="H240" s="4" t="str">
        <f t="shared" ca="1" si="4"/>
        <v/>
      </c>
    </row>
    <row r="241" spans="5:8">
      <c r="E241" t="str">
        <f>IF(B241="","",IFERROR(VLOOKUP(B241,csvratings!$A:$R,18,FALSE),"Not Found"))</f>
        <v/>
      </c>
      <c r="F241" t="str">
        <f>IF(C241="","",IFERROR(VLOOKUP(C241,csvratings!$A:$R,18,FALSE),"Not Found"))</f>
        <v/>
      </c>
      <c r="G241" t="str">
        <f>IF(D241="","",IFERROR(VLOOKUP(D241,csvratings!$A:$R,18,FALSE),"Not Found"))</f>
        <v/>
      </c>
      <c r="H241" s="4" t="str">
        <f t="shared" ca="1" si="4"/>
        <v/>
      </c>
    </row>
    <row r="242" spans="5:8">
      <c r="E242" t="str">
        <f>IF(B242="","",IFERROR(VLOOKUP(B242,csvratings!$A:$R,18,FALSE),"Not Found"))</f>
        <v/>
      </c>
      <c r="F242" t="str">
        <f>IF(C242="","",IFERROR(VLOOKUP(C242,csvratings!$A:$R,18,FALSE),"Not Found"))</f>
        <v/>
      </c>
      <c r="G242" t="str">
        <f>IF(D242="","",IFERROR(VLOOKUP(D242,csvratings!$A:$R,18,FALSE),"Not Found"))</f>
        <v/>
      </c>
      <c r="H242" s="4" t="str">
        <f t="shared" ca="1" si="4"/>
        <v/>
      </c>
    </row>
    <row r="243" spans="5:8">
      <c r="E243" t="str">
        <f>IF(B243="","",IFERROR(VLOOKUP(B243,csvratings!$A:$R,18,FALSE),"Not Found"))</f>
        <v/>
      </c>
      <c r="F243" t="str">
        <f>IF(C243="","",IFERROR(VLOOKUP(C243,csvratings!$A:$R,18,FALSE),"Not Found"))</f>
        <v/>
      </c>
      <c r="G243" t="str">
        <f>IF(D243="","",IFERROR(VLOOKUP(D243,csvratings!$A:$R,18,FALSE),"Not Found"))</f>
        <v/>
      </c>
      <c r="H243" s="4" t="str">
        <f t="shared" ca="1" si="4"/>
        <v/>
      </c>
    </row>
    <row r="244" spans="5:8">
      <c r="E244" t="str">
        <f>IF(B244="","",IFERROR(VLOOKUP(B244,csvratings!$A:$R,18,FALSE),"Not Found"))</f>
        <v/>
      </c>
      <c r="F244" t="str">
        <f>IF(C244="","",IFERROR(VLOOKUP(C244,csvratings!$A:$R,18,FALSE),"Not Found"))</f>
        <v/>
      </c>
      <c r="G244" t="str">
        <f>IF(D244="","",IFERROR(VLOOKUP(D244,csvratings!$A:$R,18,FALSE),"Not Found"))</f>
        <v/>
      </c>
      <c r="H244" s="4" t="str">
        <f t="shared" ca="1" si="4"/>
        <v/>
      </c>
    </row>
    <row r="245" spans="5:8">
      <c r="E245" t="str">
        <f>IF(B245="","",IFERROR(VLOOKUP(B245,csvratings!$A:$R,18,FALSE),"Not Found"))</f>
        <v/>
      </c>
      <c r="F245" t="str">
        <f>IF(C245="","",IFERROR(VLOOKUP(C245,csvratings!$A:$R,18,FALSE),"Not Found"))</f>
        <v/>
      </c>
      <c r="G245" t="str">
        <f>IF(D245="","",IFERROR(VLOOKUP(D245,csvratings!$A:$R,18,FALSE),"Not Found"))</f>
        <v/>
      </c>
      <c r="H245" s="4" t="str">
        <f t="shared" ca="1" si="4"/>
        <v/>
      </c>
    </row>
    <row r="246" spans="5:8">
      <c r="E246" t="str">
        <f>IF(B246="","",IFERROR(VLOOKUP(B246,csvratings!$A:$R,18,FALSE),"Not Found"))</f>
        <v/>
      </c>
      <c r="F246" t="str">
        <f>IF(C246="","",IFERROR(VLOOKUP(C246,csvratings!$A:$R,18,FALSE),"Not Found"))</f>
        <v/>
      </c>
      <c r="G246" t="str">
        <f>IF(D246="","",IFERROR(VLOOKUP(D246,csvratings!$A:$R,18,FALSE),"Not Found"))</f>
        <v/>
      </c>
      <c r="H246" s="4" t="str">
        <f t="shared" ca="1" si="4"/>
        <v/>
      </c>
    </row>
    <row r="247" spans="5:8">
      <c r="E247" t="str">
        <f>IF(B247="","",IFERROR(VLOOKUP(B247,csvratings!$A:$R,18,FALSE),"Not Found"))</f>
        <v/>
      </c>
      <c r="F247" t="str">
        <f>IF(C247="","",IFERROR(VLOOKUP(C247,csvratings!$A:$R,18,FALSE),"Not Found"))</f>
        <v/>
      </c>
      <c r="G247" t="str">
        <f>IF(D247="","",IFERROR(VLOOKUP(D247,csvratings!$A:$R,18,FALSE),"Not Found"))</f>
        <v/>
      </c>
      <c r="H247" s="4" t="str">
        <f t="shared" ca="1" si="4"/>
        <v/>
      </c>
    </row>
    <row r="248" spans="5:8">
      <c r="E248" t="str">
        <f>IF(B248="","",IFERROR(VLOOKUP(B248,csvratings!$A:$R,18,FALSE),"Not Found"))</f>
        <v/>
      </c>
      <c r="F248" t="str">
        <f>IF(C248="","",IFERROR(VLOOKUP(C248,csvratings!$A:$R,18,FALSE),"Not Found"))</f>
        <v/>
      </c>
      <c r="G248" t="str">
        <f>IF(D248="","",IFERROR(VLOOKUP(D248,csvratings!$A:$R,18,FALSE),"Not Found"))</f>
        <v/>
      </c>
      <c r="H248" s="4" t="str">
        <f t="shared" ca="1" si="4"/>
        <v/>
      </c>
    </row>
    <row r="249" spans="5:8">
      <c r="E249" t="str">
        <f>IF(B249="","",IFERROR(VLOOKUP(B249,csvratings!$A:$R,18,FALSE),"Not Found"))</f>
        <v/>
      </c>
      <c r="F249" t="str">
        <f>IF(C249="","",IFERROR(VLOOKUP(C249,csvratings!$A:$R,18,FALSE),"Not Found"))</f>
        <v/>
      </c>
      <c r="G249" t="str">
        <f>IF(D249="","",IFERROR(VLOOKUP(D249,csvratings!$A:$R,18,FALSE),"Not Found"))</f>
        <v/>
      </c>
      <c r="H249" s="4" t="str">
        <f t="shared" ca="1" si="4"/>
        <v/>
      </c>
    </row>
    <row r="250" spans="5:8">
      <c r="E250" t="str">
        <f>IF(B250="","",IFERROR(VLOOKUP(B250,csvratings!$A:$R,18,FALSE),"Not Found"))</f>
        <v/>
      </c>
      <c r="F250" t="str">
        <f>IF(C250="","",IFERROR(VLOOKUP(C250,csvratings!$A:$R,18,FALSE),"Not Found"))</f>
        <v/>
      </c>
      <c r="G250" t="str">
        <f>IF(D250="","",IFERROR(VLOOKUP(D250,csvratings!$A:$R,18,FALSE),"Not Found"))</f>
        <v/>
      </c>
      <c r="H250" s="4" t="str">
        <f t="shared" ca="1" si="4"/>
        <v/>
      </c>
    </row>
    <row r="251" spans="5:8">
      <c r="E251" t="str">
        <f>IF(B251="","",IFERROR(VLOOKUP(B251,csvratings!$A:$R,18,FALSE),"Not Found"))</f>
        <v/>
      </c>
      <c r="F251" t="str">
        <f>IF(C251="","",IFERROR(VLOOKUP(C251,csvratings!$A:$R,18,FALSE),"Not Found"))</f>
        <v/>
      </c>
      <c r="G251" t="str">
        <f>IF(D251="","",IFERROR(VLOOKUP(D251,csvratings!$A:$R,18,FALSE),"Not Found"))</f>
        <v/>
      </c>
      <c r="H251" s="4" t="str">
        <f t="shared" ca="1" si="4"/>
        <v/>
      </c>
    </row>
    <row r="252" spans="5:8">
      <c r="E252" t="str">
        <f>IF(B252="","",IFERROR(VLOOKUP(B252,csvratings!$A:$R,18,FALSE),"Not Found"))</f>
        <v/>
      </c>
      <c r="F252" t="str">
        <f>IF(C252="","",IFERROR(VLOOKUP(C252,csvratings!$A:$R,18,FALSE),"Not Found"))</f>
        <v/>
      </c>
      <c r="G252" t="str">
        <f>IF(D252="","",IFERROR(VLOOKUP(D252,csvratings!$A:$R,18,FALSE),"Not Found"))</f>
        <v/>
      </c>
      <c r="H252" s="4" t="str">
        <f t="shared" ca="1" si="4"/>
        <v/>
      </c>
    </row>
    <row r="253" spans="5:8">
      <c r="E253" t="str">
        <f>IF(B253="","",IFERROR(VLOOKUP(B253,csvratings!$A:$R,18,FALSE),"Not Found"))</f>
        <v/>
      </c>
      <c r="F253" t="str">
        <f>IF(C253="","",IFERROR(VLOOKUP(C253,csvratings!$A:$R,18,FALSE),"Not Found"))</f>
        <v/>
      </c>
      <c r="G253" t="str">
        <f>IF(D253="","",IFERROR(VLOOKUP(D253,csvratings!$A:$R,18,FALSE),"Not Found"))</f>
        <v/>
      </c>
      <c r="H253" s="4" t="str">
        <f t="shared" ca="1" si="4"/>
        <v/>
      </c>
    </row>
    <row r="254" spans="5:8">
      <c r="E254" t="str">
        <f>IF(B254="","",IFERROR(VLOOKUP(B254,csvratings!$A:$R,18,FALSE),"Not Found"))</f>
        <v/>
      </c>
      <c r="F254" t="str">
        <f>IF(C254="","",IFERROR(VLOOKUP(C254,csvratings!$A:$R,18,FALSE),"Not Found"))</f>
        <v/>
      </c>
      <c r="G254" t="str">
        <f>IF(D254="","",IFERROR(VLOOKUP(D254,csvratings!$A:$R,18,FALSE),"Not Found"))</f>
        <v/>
      </c>
      <c r="H254" s="4" t="str">
        <f t="shared" ca="1" si="4"/>
        <v/>
      </c>
    </row>
    <row r="255" spans="5:8">
      <c r="E255" t="str">
        <f>IF(B255="","",IFERROR(VLOOKUP(B255,csvratings!$A:$R,18,FALSE),"Not Found"))</f>
        <v/>
      </c>
      <c r="F255" t="str">
        <f>IF(C255="","",IFERROR(VLOOKUP(C255,csvratings!$A:$R,18,FALSE),"Not Found"))</f>
        <v/>
      </c>
      <c r="G255" t="str">
        <f>IF(D255="","",IFERROR(VLOOKUP(D255,csvratings!$A:$R,18,FALSE),"Not Found"))</f>
        <v/>
      </c>
      <c r="H255" s="4" t="str">
        <f t="shared" ca="1" si="4"/>
        <v/>
      </c>
    </row>
    <row r="256" spans="5:8">
      <c r="E256" t="str">
        <f>IF(B256="","",IFERROR(VLOOKUP(B256,csvratings!$A:$R,18,FALSE),"Not Found"))</f>
        <v/>
      </c>
      <c r="F256" t="str">
        <f>IF(C256="","",IFERROR(VLOOKUP(C256,csvratings!$A:$R,18,FALSE),"Not Found"))</f>
        <v/>
      </c>
      <c r="G256" t="str">
        <f>IF(D256="","",IFERROR(VLOOKUP(D256,csvratings!$A:$R,18,FALSE),"Not Found"))</f>
        <v/>
      </c>
      <c r="H256" s="4" t="str">
        <f t="shared" ca="1" si="4"/>
        <v/>
      </c>
    </row>
    <row r="257" spans="5:8">
      <c r="E257" t="str">
        <f>IF(B257="","",IFERROR(VLOOKUP(B257,csvratings!$A:$R,18,FALSE),"Not Found"))</f>
        <v/>
      </c>
      <c r="F257" t="str">
        <f>IF(C257="","",IFERROR(VLOOKUP(C257,csvratings!$A:$R,18,FALSE),"Not Found"))</f>
        <v/>
      </c>
      <c r="G257" t="str">
        <f>IF(D257="","",IFERROR(VLOOKUP(D257,csvratings!$A:$R,18,FALSE),"Not Found"))</f>
        <v/>
      </c>
      <c r="H257" s="4" t="str">
        <f t="shared" ca="1" si="4"/>
        <v/>
      </c>
    </row>
    <row r="258" spans="5:8">
      <c r="E258" t="str">
        <f>IF(B258="","",IFERROR(VLOOKUP(B258,csvratings!$A:$R,18,FALSE),"Not Found"))</f>
        <v/>
      </c>
      <c r="F258" t="str">
        <f>IF(C258="","",IFERROR(VLOOKUP(C258,csvratings!$A:$R,18,FALSE),"Not Found"))</f>
        <v/>
      </c>
      <c r="G258" t="str">
        <f>IF(D258="","",IFERROR(VLOOKUP(D258,csvratings!$A:$R,18,FALSE),"Not Found"))</f>
        <v/>
      </c>
      <c r="H258" s="4" t="str">
        <f t="shared" ca="1" si="4"/>
        <v/>
      </c>
    </row>
    <row r="259" spans="5:8">
      <c r="E259" t="str">
        <f>IF(B259="","",IFERROR(VLOOKUP(B259,csvratings!$A:$R,18,FALSE),"Not Found"))</f>
        <v/>
      </c>
      <c r="F259" t="str">
        <f>IF(C259="","",IFERROR(VLOOKUP(C259,csvratings!$A:$R,18,FALSE),"Not Found"))</f>
        <v/>
      </c>
      <c r="G259" t="str">
        <f>IF(D259="","",IFERROR(VLOOKUP(D259,csvratings!$A:$R,18,FALSE),"Not Found"))</f>
        <v/>
      </c>
      <c r="H259" s="4" t="str">
        <f t="shared" ref="H259:H322" ca="1" si="5">IF(AND(B259&lt;&gt;"",C259&lt;&gt;"",D259&lt;&gt;""),TODAY(),"")</f>
        <v/>
      </c>
    </row>
    <row r="260" spans="5:8">
      <c r="E260" t="str">
        <f>IF(B260="","",IFERROR(VLOOKUP(B260,csvratings!$A:$R,18,FALSE),"Not Found"))</f>
        <v/>
      </c>
      <c r="F260" t="str">
        <f>IF(C260="","",IFERROR(VLOOKUP(C260,csvratings!$A:$R,18,FALSE),"Not Found"))</f>
        <v/>
      </c>
      <c r="G260" t="str">
        <f>IF(D260="","",IFERROR(VLOOKUP(D260,csvratings!$A:$R,18,FALSE),"Not Found"))</f>
        <v/>
      </c>
      <c r="H260" s="4" t="str">
        <f t="shared" ca="1" si="5"/>
        <v/>
      </c>
    </row>
    <row r="261" spans="5:8">
      <c r="E261" t="str">
        <f>IF(B261="","",IFERROR(VLOOKUP(B261,csvratings!$A:$R,18,FALSE),"Not Found"))</f>
        <v/>
      </c>
      <c r="F261" t="str">
        <f>IF(C261="","",IFERROR(VLOOKUP(C261,csvratings!$A:$R,18,FALSE),"Not Found"))</f>
        <v/>
      </c>
      <c r="G261" t="str">
        <f>IF(D261="","",IFERROR(VLOOKUP(D261,csvratings!$A:$R,18,FALSE),"Not Found"))</f>
        <v/>
      </c>
      <c r="H261" s="4" t="str">
        <f t="shared" ca="1" si="5"/>
        <v/>
      </c>
    </row>
    <row r="262" spans="5:8">
      <c r="E262" t="str">
        <f>IF(B262="","",IFERROR(VLOOKUP(B262,csvratings!$A:$R,18,FALSE),"Not Found"))</f>
        <v/>
      </c>
      <c r="F262" t="str">
        <f>IF(C262="","",IFERROR(VLOOKUP(C262,csvratings!$A:$R,18,FALSE),"Not Found"))</f>
        <v/>
      </c>
      <c r="G262" t="str">
        <f>IF(D262="","",IFERROR(VLOOKUP(D262,csvratings!$A:$R,18,FALSE),"Not Found"))</f>
        <v/>
      </c>
      <c r="H262" s="4" t="str">
        <f t="shared" ca="1" si="5"/>
        <v/>
      </c>
    </row>
    <row r="263" spans="5:8">
      <c r="E263" t="str">
        <f>IF(B263="","",IFERROR(VLOOKUP(B263,csvratings!$A:$R,18,FALSE),"Not Found"))</f>
        <v/>
      </c>
      <c r="F263" t="str">
        <f>IF(C263="","",IFERROR(VLOOKUP(C263,csvratings!$A:$R,18,FALSE),"Not Found"))</f>
        <v/>
      </c>
      <c r="G263" t="str">
        <f>IF(D263="","",IFERROR(VLOOKUP(D263,csvratings!$A:$R,18,FALSE),"Not Found"))</f>
        <v/>
      </c>
      <c r="H263" s="4" t="str">
        <f t="shared" ca="1" si="5"/>
        <v/>
      </c>
    </row>
    <row r="264" spans="5:8">
      <c r="E264" t="str">
        <f>IF(B264="","",IFERROR(VLOOKUP(B264,csvratings!$A:$R,18,FALSE),"Not Found"))</f>
        <v/>
      </c>
      <c r="F264" t="str">
        <f>IF(C264="","",IFERROR(VLOOKUP(C264,csvratings!$A:$R,18,FALSE),"Not Found"))</f>
        <v/>
      </c>
      <c r="G264" t="str">
        <f>IF(D264="","",IFERROR(VLOOKUP(D264,csvratings!$A:$R,18,FALSE),"Not Found"))</f>
        <v/>
      </c>
      <c r="H264" s="4" t="str">
        <f t="shared" ca="1" si="5"/>
        <v/>
      </c>
    </row>
    <row r="265" spans="5:8">
      <c r="E265" t="str">
        <f>IF(B265="","",IFERROR(VLOOKUP(B265,csvratings!$A:$R,18,FALSE),"Not Found"))</f>
        <v/>
      </c>
      <c r="F265" t="str">
        <f>IF(C265="","",IFERROR(VLOOKUP(C265,csvratings!$A:$R,18,FALSE),"Not Found"))</f>
        <v/>
      </c>
      <c r="G265" t="str">
        <f>IF(D265="","",IFERROR(VLOOKUP(D265,csvratings!$A:$R,18,FALSE),"Not Found"))</f>
        <v/>
      </c>
      <c r="H265" s="4" t="str">
        <f t="shared" ca="1" si="5"/>
        <v/>
      </c>
    </row>
    <row r="266" spans="5:8">
      <c r="E266" t="str">
        <f>IF(B266="","",IFERROR(VLOOKUP(B266,csvratings!$A:$R,18,FALSE),"Not Found"))</f>
        <v/>
      </c>
      <c r="F266" t="str">
        <f>IF(C266="","",IFERROR(VLOOKUP(C266,csvratings!$A:$R,18,FALSE),"Not Found"))</f>
        <v/>
      </c>
      <c r="G266" t="str">
        <f>IF(D266="","",IFERROR(VLOOKUP(D266,csvratings!$A:$R,18,FALSE),"Not Found"))</f>
        <v/>
      </c>
      <c r="H266" s="4" t="str">
        <f t="shared" ca="1" si="5"/>
        <v/>
      </c>
    </row>
    <row r="267" spans="5:8">
      <c r="E267" t="str">
        <f>IF(B267="","",IFERROR(VLOOKUP(B267,csvratings!$A:$R,18,FALSE),"Not Found"))</f>
        <v/>
      </c>
      <c r="F267" t="str">
        <f>IF(C267="","",IFERROR(VLOOKUP(C267,csvratings!$A:$R,18,FALSE),"Not Found"))</f>
        <v/>
      </c>
      <c r="G267" t="str">
        <f>IF(D267="","",IFERROR(VLOOKUP(D267,csvratings!$A:$R,18,FALSE),"Not Found"))</f>
        <v/>
      </c>
      <c r="H267" s="4" t="str">
        <f t="shared" ca="1" si="5"/>
        <v/>
      </c>
    </row>
    <row r="268" spans="5:8">
      <c r="E268" t="str">
        <f>IF(B268="","",IFERROR(VLOOKUP(B268,csvratings!$A:$R,18,FALSE),"Not Found"))</f>
        <v/>
      </c>
      <c r="F268" t="str">
        <f>IF(C268="","",IFERROR(VLOOKUP(C268,csvratings!$A:$R,18,FALSE),"Not Found"))</f>
        <v/>
      </c>
      <c r="G268" t="str">
        <f>IF(D268="","",IFERROR(VLOOKUP(D268,csvratings!$A:$R,18,FALSE),"Not Found"))</f>
        <v/>
      </c>
      <c r="H268" s="4" t="str">
        <f t="shared" ca="1" si="5"/>
        <v/>
      </c>
    </row>
    <row r="269" spans="5:8">
      <c r="E269" t="str">
        <f>IF(B269="","",IFERROR(VLOOKUP(B269,csvratings!$A:$R,18,FALSE),"Not Found"))</f>
        <v/>
      </c>
      <c r="F269" t="str">
        <f>IF(C269="","",IFERROR(VLOOKUP(C269,csvratings!$A:$R,18,FALSE),"Not Found"))</f>
        <v/>
      </c>
      <c r="G269" t="str">
        <f>IF(D269="","",IFERROR(VLOOKUP(D269,csvratings!$A:$R,18,FALSE),"Not Found"))</f>
        <v/>
      </c>
      <c r="H269" s="4" t="str">
        <f t="shared" ca="1" si="5"/>
        <v/>
      </c>
    </row>
    <row r="270" spans="5:8">
      <c r="E270" t="str">
        <f>IF(B270="","",IFERROR(VLOOKUP(B270,csvratings!$A:$R,18,FALSE),"Not Found"))</f>
        <v/>
      </c>
      <c r="F270" t="str">
        <f>IF(C270="","",IFERROR(VLOOKUP(C270,csvratings!$A:$R,18,FALSE),"Not Found"))</f>
        <v/>
      </c>
      <c r="G270" t="str">
        <f>IF(D270="","",IFERROR(VLOOKUP(D270,csvratings!$A:$R,18,FALSE),"Not Found"))</f>
        <v/>
      </c>
      <c r="H270" s="4" t="str">
        <f t="shared" ca="1" si="5"/>
        <v/>
      </c>
    </row>
    <row r="271" spans="5:8">
      <c r="E271" t="str">
        <f>IF(B271="","",IFERROR(VLOOKUP(B271,csvratings!$A:$R,18,FALSE),"Not Found"))</f>
        <v/>
      </c>
      <c r="F271" t="str">
        <f>IF(C271="","",IFERROR(VLOOKUP(C271,csvratings!$A:$R,18,FALSE),"Not Found"))</f>
        <v/>
      </c>
      <c r="G271" t="str">
        <f>IF(D271="","",IFERROR(VLOOKUP(D271,csvratings!$A:$R,18,FALSE),"Not Found"))</f>
        <v/>
      </c>
      <c r="H271" s="4" t="str">
        <f t="shared" ca="1" si="5"/>
        <v/>
      </c>
    </row>
    <row r="272" spans="5:8">
      <c r="E272" t="str">
        <f>IF(B272="","",IFERROR(VLOOKUP(B272,csvratings!$A:$R,18,FALSE),"Not Found"))</f>
        <v/>
      </c>
      <c r="F272" t="str">
        <f>IF(C272="","",IFERROR(VLOOKUP(C272,csvratings!$A:$R,18,FALSE),"Not Found"))</f>
        <v/>
      </c>
      <c r="G272" t="str">
        <f>IF(D272="","",IFERROR(VLOOKUP(D272,csvratings!$A:$R,18,FALSE),"Not Found"))</f>
        <v/>
      </c>
      <c r="H272" s="4" t="str">
        <f t="shared" ca="1" si="5"/>
        <v/>
      </c>
    </row>
    <row r="273" spans="5:8">
      <c r="E273" t="str">
        <f>IF(B273="","",IFERROR(VLOOKUP(B273,csvratings!$A:$R,18,FALSE),"Not Found"))</f>
        <v/>
      </c>
      <c r="F273" t="str">
        <f>IF(C273="","",IFERROR(VLOOKUP(C273,csvratings!$A:$R,18,FALSE),"Not Found"))</f>
        <v/>
      </c>
      <c r="G273" t="str">
        <f>IF(D273="","",IFERROR(VLOOKUP(D273,csvratings!$A:$R,18,FALSE),"Not Found"))</f>
        <v/>
      </c>
      <c r="H273" s="4" t="str">
        <f t="shared" ca="1" si="5"/>
        <v/>
      </c>
    </row>
    <row r="274" spans="5:8">
      <c r="E274" t="str">
        <f>IF(B274="","",IFERROR(VLOOKUP(B274,csvratings!$A:$R,18,FALSE),"Not Found"))</f>
        <v/>
      </c>
      <c r="F274" t="str">
        <f>IF(C274="","",IFERROR(VLOOKUP(C274,csvratings!$A:$R,18,FALSE),"Not Found"))</f>
        <v/>
      </c>
      <c r="G274" t="str">
        <f>IF(D274="","",IFERROR(VLOOKUP(D274,csvratings!$A:$R,18,FALSE),"Not Found"))</f>
        <v/>
      </c>
      <c r="H274" s="4" t="str">
        <f t="shared" ca="1" si="5"/>
        <v/>
      </c>
    </row>
    <row r="275" spans="5:8">
      <c r="E275" t="str">
        <f>IF(B275="","",IFERROR(VLOOKUP(B275,csvratings!$A:$R,18,FALSE),"Not Found"))</f>
        <v/>
      </c>
      <c r="F275" t="str">
        <f>IF(C275="","",IFERROR(VLOOKUP(C275,csvratings!$A:$R,18,FALSE),"Not Found"))</f>
        <v/>
      </c>
      <c r="G275" t="str">
        <f>IF(D275="","",IFERROR(VLOOKUP(D275,csvratings!$A:$R,18,FALSE),"Not Found"))</f>
        <v/>
      </c>
      <c r="H275" s="4" t="str">
        <f t="shared" ca="1" si="5"/>
        <v/>
      </c>
    </row>
    <row r="276" spans="5:8">
      <c r="E276" t="str">
        <f>IF(B276="","",IFERROR(VLOOKUP(B276,csvratings!$A:$R,18,FALSE),"Not Found"))</f>
        <v/>
      </c>
      <c r="F276" t="str">
        <f>IF(C276="","",IFERROR(VLOOKUP(C276,csvratings!$A:$R,18,FALSE),"Not Found"))</f>
        <v/>
      </c>
      <c r="G276" t="str">
        <f>IF(D276="","",IFERROR(VLOOKUP(D276,csvratings!$A:$R,18,FALSE),"Not Found"))</f>
        <v/>
      </c>
      <c r="H276" s="4" t="str">
        <f t="shared" ca="1" si="5"/>
        <v/>
      </c>
    </row>
    <row r="277" spans="5:8">
      <c r="E277" t="str">
        <f>IF(B277="","",IFERROR(VLOOKUP(B277,csvratings!$A:$R,18,FALSE),"Not Found"))</f>
        <v/>
      </c>
      <c r="F277" t="str">
        <f>IF(C277="","",IFERROR(VLOOKUP(C277,csvratings!$A:$R,18,FALSE),"Not Found"))</f>
        <v/>
      </c>
      <c r="G277" t="str">
        <f>IF(D277="","",IFERROR(VLOOKUP(D277,csvratings!$A:$R,18,FALSE),"Not Found"))</f>
        <v/>
      </c>
      <c r="H277" s="4" t="str">
        <f t="shared" ca="1" si="5"/>
        <v/>
      </c>
    </row>
    <row r="278" spans="5:8">
      <c r="E278" t="str">
        <f>IF(B278="","",IFERROR(VLOOKUP(B278,csvratings!$A:$R,18,FALSE),"Not Found"))</f>
        <v/>
      </c>
      <c r="F278" t="str">
        <f>IF(C278="","",IFERROR(VLOOKUP(C278,csvratings!$A:$R,18,FALSE),"Not Found"))</f>
        <v/>
      </c>
      <c r="G278" t="str">
        <f>IF(D278="","",IFERROR(VLOOKUP(D278,csvratings!$A:$R,18,FALSE),"Not Found"))</f>
        <v/>
      </c>
      <c r="H278" s="4" t="str">
        <f t="shared" ca="1" si="5"/>
        <v/>
      </c>
    </row>
    <row r="279" spans="5:8">
      <c r="E279" t="str">
        <f>IF(B279="","",IFERROR(VLOOKUP(B279,csvratings!$A:$R,18,FALSE),"Not Found"))</f>
        <v/>
      </c>
      <c r="F279" t="str">
        <f>IF(C279="","",IFERROR(VLOOKUP(C279,csvratings!$A:$R,18,FALSE),"Not Found"))</f>
        <v/>
      </c>
      <c r="G279" t="str">
        <f>IF(D279="","",IFERROR(VLOOKUP(D279,csvratings!$A:$R,18,FALSE),"Not Found"))</f>
        <v/>
      </c>
      <c r="H279" s="4" t="str">
        <f t="shared" ca="1" si="5"/>
        <v/>
      </c>
    </row>
    <row r="280" spans="5:8">
      <c r="E280" t="str">
        <f>IF(B280="","",IFERROR(VLOOKUP(B280,csvratings!$A:$R,18,FALSE),"Not Found"))</f>
        <v/>
      </c>
      <c r="F280" t="str">
        <f>IF(C280="","",IFERROR(VLOOKUP(C280,csvratings!$A:$R,18,FALSE),"Not Found"))</f>
        <v/>
      </c>
      <c r="G280" t="str">
        <f>IF(D280="","",IFERROR(VLOOKUP(D280,csvratings!$A:$R,18,FALSE),"Not Found"))</f>
        <v/>
      </c>
      <c r="H280" s="4" t="str">
        <f t="shared" ca="1" si="5"/>
        <v/>
      </c>
    </row>
    <row r="281" spans="5:8">
      <c r="E281" t="str">
        <f>IF(B281="","",IFERROR(VLOOKUP(B281,csvratings!$A:$R,18,FALSE),"Not Found"))</f>
        <v/>
      </c>
      <c r="F281" t="str">
        <f>IF(C281="","",IFERROR(VLOOKUP(C281,csvratings!$A:$R,18,FALSE),"Not Found"))</f>
        <v/>
      </c>
      <c r="G281" t="str">
        <f>IF(D281="","",IFERROR(VLOOKUP(D281,csvratings!$A:$R,18,FALSE),"Not Found"))</f>
        <v/>
      </c>
      <c r="H281" s="4" t="str">
        <f t="shared" ca="1" si="5"/>
        <v/>
      </c>
    </row>
    <row r="282" spans="5:8">
      <c r="E282" t="str">
        <f>IF(B282="","",IFERROR(VLOOKUP(B282,csvratings!$A:$R,18,FALSE),"Not Found"))</f>
        <v/>
      </c>
      <c r="F282" t="str">
        <f>IF(C282="","",IFERROR(VLOOKUP(C282,csvratings!$A:$R,18,FALSE),"Not Found"))</f>
        <v/>
      </c>
      <c r="G282" t="str">
        <f>IF(D282="","",IFERROR(VLOOKUP(D282,csvratings!$A:$R,18,FALSE),"Not Found"))</f>
        <v/>
      </c>
      <c r="H282" s="4" t="str">
        <f t="shared" ca="1" si="5"/>
        <v/>
      </c>
    </row>
    <row r="283" spans="5:8">
      <c r="E283" t="str">
        <f>IF(B283="","",IFERROR(VLOOKUP(B283,csvratings!$A:$R,18,FALSE),"Not Found"))</f>
        <v/>
      </c>
      <c r="F283" t="str">
        <f>IF(C283="","",IFERROR(VLOOKUP(C283,csvratings!$A:$R,18,FALSE),"Not Found"))</f>
        <v/>
      </c>
      <c r="G283" t="str">
        <f>IF(D283="","",IFERROR(VLOOKUP(D283,csvratings!$A:$R,18,FALSE),"Not Found"))</f>
        <v/>
      </c>
      <c r="H283" s="4" t="str">
        <f t="shared" ca="1" si="5"/>
        <v/>
      </c>
    </row>
    <row r="284" spans="5:8">
      <c r="E284" t="str">
        <f>IF(B284="","",IFERROR(VLOOKUP(B284,csvratings!$A:$R,18,FALSE),"Not Found"))</f>
        <v/>
      </c>
      <c r="F284" t="str">
        <f>IF(C284="","",IFERROR(VLOOKUP(C284,csvratings!$A:$R,18,FALSE),"Not Found"))</f>
        <v/>
      </c>
      <c r="G284" t="str">
        <f>IF(D284="","",IFERROR(VLOOKUP(D284,csvratings!$A:$R,18,FALSE),"Not Found"))</f>
        <v/>
      </c>
      <c r="H284" s="4" t="str">
        <f t="shared" ca="1" si="5"/>
        <v/>
      </c>
    </row>
    <row r="285" spans="5:8">
      <c r="E285" t="str">
        <f>IF(B285="","",IFERROR(VLOOKUP(B285,csvratings!$A:$R,18,FALSE),"Not Found"))</f>
        <v/>
      </c>
      <c r="F285" t="str">
        <f>IF(C285="","",IFERROR(VLOOKUP(C285,csvratings!$A:$R,18,FALSE),"Not Found"))</f>
        <v/>
      </c>
      <c r="G285" t="str">
        <f>IF(D285="","",IFERROR(VLOOKUP(D285,csvratings!$A:$R,18,FALSE),"Not Found"))</f>
        <v/>
      </c>
      <c r="H285" s="4" t="str">
        <f t="shared" ca="1" si="5"/>
        <v/>
      </c>
    </row>
    <row r="286" spans="5:8">
      <c r="E286" t="str">
        <f>IF(B286="","",IFERROR(VLOOKUP(B286,csvratings!$A:$R,18,FALSE),"Not Found"))</f>
        <v/>
      </c>
      <c r="F286" t="str">
        <f>IF(C286="","",IFERROR(VLOOKUP(C286,csvratings!$A:$R,18,FALSE),"Not Found"))</f>
        <v/>
      </c>
      <c r="G286" t="str">
        <f>IF(D286="","",IFERROR(VLOOKUP(D286,csvratings!$A:$R,18,FALSE),"Not Found"))</f>
        <v/>
      </c>
      <c r="H286" s="4" t="str">
        <f t="shared" ca="1" si="5"/>
        <v/>
      </c>
    </row>
    <row r="287" spans="5:8">
      <c r="E287" t="str">
        <f>IF(B287="","",IFERROR(VLOOKUP(B287,csvratings!$A:$R,18,FALSE),"Not Found"))</f>
        <v/>
      </c>
      <c r="F287" t="str">
        <f>IF(C287="","",IFERROR(VLOOKUP(C287,csvratings!$A:$R,18,FALSE),"Not Found"))</f>
        <v/>
      </c>
      <c r="G287" t="str">
        <f>IF(D287="","",IFERROR(VLOOKUP(D287,csvratings!$A:$R,18,FALSE),"Not Found"))</f>
        <v/>
      </c>
      <c r="H287" s="4" t="str">
        <f t="shared" ca="1" si="5"/>
        <v/>
      </c>
    </row>
    <row r="288" spans="5:8">
      <c r="E288" t="str">
        <f>IF(B288="","",IFERROR(VLOOKUP(B288,csvratings!$A:$R,18,FALSE),"Not Found"))</f>
        <v/>
      </c>
      <c r="F288" t="str">
        <f>IF(C288="","",IFERROR(VLOOKUP(C288,csvratings!$A:$R,18,FALSE),"Not Found"))</f>
        <v/>
      </c>
      <c r="G288" t="str">
        <f>IF(D288="","",IFERROR(VLOOKUP(D288,csvratings!$A:$R,18,FALSE),"Not Found"))</f>
        <v/>
      </c>
      <c r="H288" s="4" t="str">
        <f t="shared" ca="1" si="5"/>
        <v/>
      </c>
    </row>
    <row r="289" spans="5:8">
      <c r="E289" t="str">
        <f>IF(B289="","",IFERROR(VLOOKUP(B289,csvratings!$A:$R,18,FALSE),"Not Found"))</f>
        <v/>
      </c>
      <c r="F289" t="str">
        <f>IF(C289="","",IFERROR(VLOOKUP(C289,csvratings!$A:$R,18,FALSE),"Not Found"))</f>
        <v/>
      </c>
      <c r="G289" t="str">
        <f>IF(D289="","",IFERROR(VLOOKUP(D289,csvratings!$A:$R,18,FALSE),"Not Found"))</f>
        <v/>
      </c>
      <c r="H289" s="4" t="str">
        <f t="shared" ca="1" si="5"/>
        <v/>
      </c>
    </row>
    <row r="290" spans="5:8">
      <c r="E290" t="str">
        <f>IF(B290="","",IFERROR(VLOOKUP(B290,csvratings!$A:$R,18,FALSE),"Not Found"))</f>
        <v/>
      </c>
      <c r="F290" t="str">
        <f>IF(C290="","",IFERROR(VLOOKUP(C290,csvratings!$A:$R,18,FALSE),"Not Found"))</f>
        <v/>
      </c>
      <c r="G290" t="str">
        <f>IF(D290="","",IFERROR(VLOOKUP(D290,csvratings!$A:$R,18,FALSE),"Not Found"))</f>
        <v/>
      </c>
      <c r="H290" s="4" t="str">
        <f t="shared" ca="1" si="5"/>
        <v/>
      </c>
    </row>
    <row r="291" spans="5:8">
      <c r="E291" t="str">
        <f>IF(B291="","",IFERROR(VLOOKUP(B291,csvratings!$A:$R,18,FALSE),"Not Found"))</f>
        <v/>
      </c>
      <c r="F291" t="str">
        <f>IF(C291="","",IFERROR(VLOOKUP(C291,csvratings!$A:$R,18,FALSE),"Not Found"))</f>
        <v/>
      </c>
      <c r="G291" t="str">
        <f>IF(D291="","",IFERROR(VLOOKUP(D291,csvratings!$A:$R,18,FALSE),"Not Found"))</f>
        <v/>
      </c>
      <c r="H291" s="4" t="str">
        <f t="shared" ca="1" si="5"/>
        <v/>
      </c>
    </row>
    <row r="292" spans="5:8">
      <c r="E292" t="str">
        <f>IF(B292="","",IFERROR(VLOOKUP(B292,csvratings!$A:$R,18,FALSE),"Not Found"))</f>
        <v/>
      </c>
      <c r="F292" t="str">
        <f>IF(C292="","",IFERROR(VLOOKUP(C292,csvratings!$A:$R,18,FALSE),"Not Found"))</f>
        <v/>
      </c>
      <c r="G292" t="str">
        <f>IF(D292="","",IFERROR(VLOOKUP(D292,csvratings!$A:$R,18,FALSE),"Not Found"))</f>
        <v/>
      </c>
      <c r="H292" s="4" t="str">
        <f t="shared" ca="1" si="5"/>
        <v/>
      </c>
    </row>
    <row r="293" spans="5:8">
      <c r="E293" t="str">
        <f>IF(B293="","",IFERROR(VLOOKUP(B293,csvratings!$A:$R,18,FALSE),"Not Found"))</f>
        <v/>
      </c>
      <c r="F293" t="str">
        <f>IF(C293="","",IFERROR(VLOOKUP(C293,csvratings!$A:$R,18,FALSE),"Not Found"))</f>
        <v/>
      </c>
      <c r="G293" t="str">
        <f>IF(D293="","",IFERROR(VLOOKUP(D293,csvratings!$A:$R,18,FALSE),"Not Found"))</f>
        <v/>
      </c>
      <c r="H293" s="4" t="str">
        <f t="shared" ca="1" si="5"/>
        <v/>
      </c>
    </row>
    <row r="294" spans="5:8">
      <c r="E294" t="str">
        <f>IF(B294="","",IFERROR(VLOOKUP(B294,csvratings!$A:$R,18,FALSE),"Not Found"))</f>
        <v/>
      </c>
      <c r="F294" t="str">
        <f>IF(C294="","",IFERROR(VLOOKUP(C294,csvratings!$A:$R,18,FALSE),"Not Found"))</f>
        <v/>
      </c>
      <c r="G294" t="str">
        <f>IF(D294="","",IFERROR(VLOOKUP(D294,csvratings!$A:$R,18,FALSE),"Not Found"))</f>
        <v/>
      </c>
      <c r="H294" s="4" t="str">
        <f t="shared" ca="1" si="5"/>
        <v/>
      </c>
    </row>
    <row r="295" spans="5:8">
      <c r="E295" t="str">
        <f>IF(B295="","",IFERROR(VLOOKUP(B295,csvratings!$A:$R,18,FALSE),"Not Found"))</f>
        <v/>
      </c>
      <c r="F295" t="str">
        <f>IF(C295="","",IFERROR(VLOOKUP(C295,csvratings!$A:$R,18,FALSE),"Not Found"))</f>
        <v/>
      </c>
      <c r="G295" t="str">
        <f>IF(D295="","",IFERROR(VLOOKUP(D295,csvratings!$A:$R,18,FALSE),"Not Found"))</f>
        <v/>
      </c>
      <c r="H295" s="4" t="str">
        <f t="shared" ca="1" si="5"/>
        <v/>
      </c>
    </row>
    <row r="296" spans="5:8">
      <c r="E296" t="str">
        <f>IF(B296="","",IFERROR(VLOOKUP(B296,csvratings!$A:$R,18,FALSE),"Not Found"))</f>
        <v/>
      </c>
      <c r="F296" t="str">
        <f>IF(C296="","",IFERROR(VLOOKUP(C296,csvratings!$A:$R,18,FALSE),"Not Found"))</f>
        <v/>
      </c>
      <c r="G296" t="str">
        <f>IF(D296="","",IFERROR(VLOOKUP(D296,csvratings!$A:$R,18,FALSE),"Not Found"))</f>
        <v/>
      </c>
      <c r="H296" s="4" t="str">
        <f t="shared" ca="1" si="5"/>
        <v/>
      </c>
    </row>
    <row r="297" spans="5:8">
      <c r="E297" t="str">
        <f>IF(B297="","",IFERROR(VLOOKUP(B297,csvratings!$A:$R,18,FALSE),"Not Found"))</f>
        <v/>
      </c>
      <c r="F297" t="str">
        <f>IF(C297="","",IFERROR(VLOOKUP(C297,csvratings!$A:$R,18,FALSE),"Not Found"))</f>
        <v/>
      </c>
      <c r="G297" t="str">
        <f>IF(D297="","",IFERROR(VLOOKUP(D297,csvratings!$A:$R,18,FALSE),"Not Found"))</f>
        <v/>
      </c>
      <c r="H297" s="4" t="str">
        <f t="shared" ca="1" si="5"/>
        <v/>
      </c>
    </row>
    <row r="298" spans="5:8">
      <c r="E298" t="str">
        <f>IF(B298="","",IFERROR(VLOOKUP(B298,csvratings!$A:$R,18,FALSE),"Not Found"))</f>
        <v/>
      </c>
      <c r="F298" t="str">
        <f>IF(C298="","",IFERROR(VLOOKUP(C298,csvratings!$A:$R,18,FALSE),"Not Found"))</f>
        <v/>
      </c>
      <c r="G298" t="str">
        <f>IF(D298="","",IFERROR(VLOOKUP(D298,csvratings!$A:$R,18,FALSE),"Not Found"))</f>
        <v/>
      </c>
      <c r="H298" s="4" t="str">
        <f t="shared" ca="1" si="5"/>
        <v/>
      </c>
    </row>
    <row r="299" spans="5:8">
      <c r="E299" t="str">
        <f>IF(B299="","",IFERROR(VLOOKUP(B299,csvratings!$A:$R,18,FALSE),"Not Found"))</f>
        <v/>
      </c>
      <c r="F299" t="str">
        <f>IF(C299="","",IFERROR(VLOOKUP(C299,csvratings!$A:$R,18,FALSE),"Not Found"))</f>
        <v/>
      </c>
      <c r="G299" t="str">
        <f>IF(D299="","",IFERROR(VLOOKUP(D299,csvratings!$A:$R,18,FALSE),"Not Found"))</f>
        <v/>
      </c>
      <c r="H299" s="4" t="str">
        <f t="shared" ca="1" si="5"/>
        <v/>
      </c>
    </row>
    <row r="300" spans="5:8">
      <c r="E300" t="str">
        <f>IF(B300="","",IFERROR(VLOOKUP(B300,csvratings!$A:$R,18,FALSE),"Not Found"))</f>
        <v/>
      </c>
      <c r="F300" t="str">
        <f>IF(C300="","",IFERROR(VLOOKUP(C300,csvratings!$A:$R,18,FALSE),"Not Found"))</f>
        <v/>
      </c>
      <c r="G300" t="str">
        <f>IF(D300="","",IFERROR(VLOOKUP(D300,csvratings!$A:$R,18,FALSE),"Not Found"))</f>
        <v/>
      </c>
      <c r="H300" s="4" t="str">
        <f t="shared" ca="1" si="5"/>
        <v/>
      </c>
    </row>
    <row r="301" spans="5:8">
      <c r="E301" t="str">
        <f>IF(B301="","",IFERROR(VLOOKUP(B301,csvratings!$A:$R,18,FALSE),"Not Found"))</f>
        <v/>
      </c>
      <c r="F301" t="str">
        <f>IF(C301="","",IFERROR(VLOOKUP(C301,csvratings!$A:$R,18,FALSE),"Not Found"))</f>
        <v/>
      </c>
      <c r="G301" t="str">
        <f>IF(D301="","",IFERROR(VLOOKUP(D301,csvratings!$A:$R,18,FALSE),"Not Found"))</f>
        <v/>
      </c>
      <c r="H301" s="4" t="str">
        <f t="shared" ca="1" si="5"/>
        <v/>
      </c>
    </row>
    <row r="302" spans="5:8">
      <c r="E302" t="str">
        <f>IF(B302="","",IFERROR(VLOOKUP(B302,csvratings!$A:$R,18,FALSE),"Not Found"))</f>
        <v/>
      </c>
      <c r="F302" t="str">
        <f>IF(C302="","",IFERROR(VLOOKUP(C302,csvratings!$A:$R,18,FALSE),"Not Found"))</f>
        <v/>
      </c>
      <c r="G302" t="str">
        <f>IF(D302="","",IFERROR(VLOOKUP(D302,csvratings!$A:$R,18,FALSE),"Not Found"))</f>
        <v/>
      </c>
      <c r="H302" s="4" t="str">
        <f t="shared" ca="1" si="5"/>
        <v/>
      </c>
    </row>
    <row r="303" spans="5:8">
      <c r="E303" t="str">
        <f>IF(B303="","",IFERROR(VLOOKUP(B303,csvratings!$A:$R,18,FALSE),"Not Found"))</f>
        <v/>
      </c>
      <c r="F303" t="str">
        <f>IF(C303="","",IFERROR(VLOOKUP(C303,csvratings!$A:$R,18,FALSE),"Not Found"))</f>
        <v/>
      </c>
      <c r="G303" t="str">
        <f>IF(D303="","",IFERROR(VLOOKUP(D303,csvratings!$A:$R,18,FALSE),"Not Found"))</f>
        <v/>
      </c>
      <c r="H303" s="4" t="str">
        <f t="shared" ca="1" si="5"/>
        <v/>
      </c>
    </row>
    <row r="304" spans="5:8">
      <c r="E304" t="str">
        <f>IF(B304="","",IFERROR(VLOOKUP(B304,csvratings!$A:$R,18,FALSE),"Not Found"))</f>
        <v/>
      </c>
      <c r="F304" t="str">
        <f>IF(C304="","",IFERROR(VLOOKUP(C304,csvratings!$A:$R,18,FALSE),"Not Found"))</f>
        <v/>
      </c>
      <c r="G304" t="str">
        <f>IF(D304="","",IFERROR(VLOOKUP(D304,csvratings!$A:$R,18,FALSE),"Not Found"))</f>
        <v/>
      </c>
      <c r="H304" s="4" t="str">
        <f t="shared" ca="1" si="5"/>
        <v/>
      </c>
    </row>
    <row r="305" spans="5:8">
      <c r="E305" t="str">
        <f>IF(B305="","",IFERROR(VLOOKUP(B305,csvratings!$A:$R,18,FALSE),"Not Found"))</f>
        <v/>
      </c>
      <c r="F305" t="str">
        <f>IF(C305="","",IFERROR(VLOOKUP(C305,csvratings!$A:$R,18,FALSE),"Not Found"))</f>
        <v/>
      </c>
      <c r="G305" t="str">
        <f>IF(D305="","",IFERROR(VLOOKUP(D305,csvratings!$A:$R,18,FALSE),"Not Found"))</f>
        <v/>
      </c>
      <c r="H305" s="4" t="str">
        <f t="shared" ca="1" si="5"/>
        <v/>
      </c>
    </row>
    <row r="306" spans="5:8">
      <c r="E306" t="str">
        <f>IF(B306="","",IFERROR(VLOOKUP(B306,csvratings!$A:$R,18,FALSE),"Not Found"))</f>
        <v/>
      </c>
      <c r="F306" t="str">
        <f>IF(C306="","",IFERROR(VLOOKUP(C306,csvratings!$A:$R,18,FALSE),"Not Found"))</f>
        <v/>
      </c>
      <c r="G306" t="str">
        <f>IF(D306="","",IFERROR(VLOOKUP(D306,csvratings!$A:$R,18,FALSE),"Not Found"))</f>
        <v/>
      </c>
      <c r="H306" s="4" t="str">
        <f t="shared" ca="1" si="5"/>
        <v/>
      </c>
    </row>
    <row r="307" spans="5:8">
      <c r="E307" t="str">
        <f>IF(B307="","",IFERROR(VLOOKUP(B307,csvratings!$A:$R,18,FALSE),"Not Found"))</f>
        <v/>
      </c>
      <c r="F307" t="str">
        <f>IF(C307="","",IFERROR(VLOOKUP(C307,csvratings!$A:$R,18,FALSE),"Not Found"))</f>
        <v/>
      </c>
      <c r="G307" t="str">
        <f>IF(D307="","",IFERROR(VLOOKUP(D307,csvratings!$A:$R,18,FALSE),"Not Found"))</f>
        <v/>
      </c>
      <c r="H307" s="4" t="str">
        <f t="shared" ca="1" si="5"/>
        <v/>
      </c>
    </row>
    <row r="308" spans="5:8">
      <c r="E308" t="str">
        <f>IF(B308="","",IFERROR(VLOOKUP(B308,csvratings!$A:$R,18,FALSE),"Not Found"))</f>
        <v/>
      </c>
      <c r="F308" t="str">
        <f>IF(C308="","",IFERROR(VLOOKUP(C308,csvratings!$A:$R,18,FALSE),"Not Found"))</f>
        <v/>
      </c>
      <c r="G308" t="str">
        <f>IF(D308="","",IFERROR(VLOOKUP(D308,csvratings!$A:$R,18,FALSE),"Not Found"))</f>
        <v/>
      </c>
      <c r="H308" s="4" t="str">
        <f t="shared" ca="1" si="5"/>
        <v/>
      </c>
    </row>
    <row r="309" spans="5:8">
      <c r="E309" t="str">
        <f>IF(B309="","",IFERROR(VLOOKUP(B309,csvratings!$A:$R,18,FALSE),"Not Found"))</f>
        <v/>
      </c>
      <c r="F309" t="str">
        <f>IF(C309="","",IFERROR(VLOOKUP(C309,csvratings!$A:$R,18,FALSE),"Not Found"))</f>
        <v/>
      </c>
      <c r="G309" t="str">
        <f>IF(D309="","",IFERROR(VLOOKUP(D309,csvratings!$A:$R,18,FALSE),"Not Found"))</f>
        <v/>
      </c>
      <c r="H309" s="4" t="str">
        <f t="shared" ca="1" si="5"/>
        <v/>
      </c>
    </row>
    <row r="310" spans="5:8">
      <c r="E310" t="str">
        <f>IF(B310="","",IFERROR(VLOOKUP(B310,csvratings!$A:$R,18,FALSE),"Not Found"))</f>
        <v/>
      </c>
      <c r="F310" t="str">
        <f>IF(C310="","",IFERROR(VLOOKUP(C310,csvratings!$A:$R,18,FALSE),"Not Found"))</f>
        <v/>
      </c>
      <c r="G310" t="str">
        <f>IF(D310="","",IFERROR(VLOOKUP(D310,csvratings!$A:$R,18,FALSE),"Not Found"))</f>
        <v/>
      </c>
      <c r="H310" s="4" t="str">
        <f t="shared" ca="1" si="5"/>
        <v/>
      </c>
    </row>
    <row r="311" spans="5:8">
      <c r="E311" t="str">
        <f>IF(B311="","",IFERROR(VLOOKUP(B311,csvratings!$A:$R,18,FALSE),"Not Found"))</f>
        <v/>
      </c>
      <c r="F311" t="str">
        <f>IF(C311="","",IFERROR(VLOOKUP(C311,csvratings!$A:$R,18,FALSE),"Not Found"))</f>
        <v/>
      </c>
      <c r="G311" t="str">
        <f>IF(D311="","",IFERROR(VLOOKUP(D311,csvratings!$A:$R,18,FALSE),"Not Found"))</f>
        <v/>
      </c>
      <c r="H311" s="4" t="str">
        <f t="shared" ca="1" si="5"/>
        <v/>
      </c>
    </row>
    <row r="312" spans="5:8">
      <c r="E312" t="str">
        <f>IF(B312="","",IFERROR(VLOOKUP(B312,csvratings!$A:$R,18,FALSE),"Not Found"))</f>
        <v/>
      </c>
      <c r="F312" t="str">
        <f>IF(C312="","",IFERROR(VLOOKUP(C312,csvratings!$A:$R,18,FALSE),"Not Found"))</f>
        <v/>
      </c>
      <c r="G312" t="str">
        <f>IF(D312="","",IFERROR(VLOOKUP(D312,csvratings!$A:$R,18,FALSE),"Not Found"))</f>
        <v/>
      </c>
      <c r="H312" s="4" t="str">
        <f t="shared" ca="1" si="5"/>
        <v/>
      </c>
    </row>
    <row r="313" spans="5:8">
      <c r="E313" t="str">
        <f>IF(B313="","",IFERROR(VLOOKUP(B313,csvratings!$A:$R,18,FALSE),"Not Found"))</f>
        <v/>
      </c>
      <c r="F313" t="str">
        <f>IF(C313="","",IFERROR(VLOOKUP(C313,csvratings!$A:$R,18,FALSE),"Not Found"))</f>
        <v/>
      </c>
      <c r="G313" t="str">
        <f>IF(D313="","",IFERROR(VLOOKUP(D313,csvratings!$A:$R,18,FALSE),"Not Found"))</f>
        <v/>
      </c>
      <c r="H313" s="4" t="str">
        <f t="shared" ca="1" si="5"/>
        <v/>
      </c>
    </row>
    <row r="314" spans="5:8">
      <c r="E314" t="str">
        <f>IF(B314="","",IFERROR(VLOOKUP(B314,csvratings!$A:$R,18,FALSE),"Not Found"))</f>
        <v/>
      </c>
      <c r="F314" t="str">
        <f>IF(C314="","",IFERROR(VLOOKUP(C314,csvratings!$A:$R,18,FALSE),"Not Found"))</f>
        <v/>
      </c>
      <c r="G314" t="str">
        <f>IF(D314="","",IFERROR(VLOOKUP(D314,csvratings!$A:$R,18,FALSE),"Not Found"))</f>
        <v/>
      </c>
      <c r="H314" s="4" t="str">
        <f t="shared" ca="1" si="5"/>
        <v/>
      </c>
    </row>
    <row r="315" spans="5:8">
      <c r="E315" t="str">
        <f>IF(B315="","",IFERROR(VLOOKUP(B315,csvratings!$A:$R,18,FALSE),"Not Found"))</f>
        <v/>
      </c>
      <c r="F315" t="str">
        <f>IF(C315="","",IFERROR(VLOOKUP(C315,csvratings!$A:$R,18,FALSE),"Not Found"))</f>
        <v/>
      </c>
      <c r="G315" t="str">
        <f>IF(D315="","",IFERROR(VLOOKUP(D315,csvratings!$A:$R,18,FALSE),"Not Found"))</f>
        <v/>
      </c>
      <c r="H315" s="4" t="str">
        <f t="shared" ca="1" si="5"/>
        <v/>
      </c>
    </row>
    <row r="316" spans="5:8">
      <c r="E316" t="str">
        <f>IF(B316="","",IFERROR(VLOOKUP(B316,csvratings!$A:$R,18,FALSE),"Not Found"))</f>
        <v/>
      </c>
      <c r="F316" t="str">
        <f>IF(C316="","",IFERROR(VLOOKUP(C316,csvratings!$A:$R,18,FALSE),"Not Found"))</f>
        <v/>
      </c>
      <c r="G316" t="str">
        <f>IF(D316="","",IFERROR(VLOOKUP(D316,csvratings!$A:$R,18,FALSE),"Not Found"))</f>
        <v/>
      </c>
      <c r="H316" s="4" t="str">
        <f t="shared" ca="1" si="5"/>
        <v/>
      </c>
    </row>
    <row r="317" spans="5:8">
      <c r="E317" t="str">
        <f>IF(B317="","",IFERROR(VLOOKUP(B317,csvratings!$A:$R,18,FALSE),"Not Found"))</f>
        <v/>
      </c>
      <c r="F317" t="str">
        <f>IF(C317="","",IFERROR(VLOOKUP(C317,csvratings!$A:$R,18,FALSE),"Not Found"))</f>
        <v/>
      </c>
      <c r="G317" t="str">
        <f>IF(D317="","",IFERROR(VLOOKUP(D317,csvratings!$A:$R,18,FALSE),"Not Found"))</f>
        <v/>
      </c>
      <c r="H317" s="4" t="str">
        <f t="shared" ca="1" si="5"/>
        <v/>
      </c>
    </row>
    <row r="318" spans="5:8">
      <c r="E318" t="str">
        <f>IF(B318="","",IFERROR(VLOOKUP(B318,csvratings!$A:$R,18,FALSE),"Not Found"))</f>
        <v/>
      </c>
      <c r="F318" t="str">
        <f>IF(C318="","",IFERROR(VLOOKUP(C318,csvratings!$A:$R,18,FALSE),"Not Found"))</f>
        <v/>
      </c>
      <c r="G318" t="str">
        <f>IF(D318="","",IFERROR(VLOOKUP(D318,csvratings!$A:$R,18,FALSE),"Not Found"))</f>
        <v/>
      </c>
      <c r="H318" s="4" t="str">
        <f t="shared" ca="1" si="5"/>
        <v/>
      </c>
    </row>
    <row r="319" spans="5:8">
      <c r="E319" t="str">
        <f>IF(B319="","",IFERROR(VLOOKUP(B319,csvratings!$A:$R,18,FALSE),"Not Found"))</f>
        <v/>
      </c>
      <c r="F319" t="str">
        <f>IF(C319="","",IFERROR(VLOOKUP(C319,csvratings!$A:$R,18,FALSE),"Not Found"))</f>
        <v/>
      </c>
      <c r="G319" t="str">
        <f>IF(D319="","",IFERROR(VLOOKUP(D319,csvratings!$A:$R,18,FALSE),"Not Found"))</f>
        <v/>
      </c>
      <c r="H319" s="4" t="str">
        <f t="shared" ca="1" si="5"/>
        <v/>
      </c>
    </row>
    <row r="320" spans="5:8">
      <c r="E320" t="str">
        <f>IF(B320="","",IFERROR(VLOOKUP(B320,csvratings!$A:$R,18,FALSE),"Not Found"))</f>
        <v/>
      </c>
      <c r="F320" t="str">
        <f>IF(C320="","",IFERROR(VLOOKUP(C320,csvratings!$A:$R,18,FALSE),"Not Found"))</f>
        <v/>
      </c>
      <c r="G320" t="str">
        <f>IF(D320="","",IFERROR(VLOOKUP(D320,csvratings!$A:$R,18,FALSE),"Not Found"))</f>
        <v/>
      </c>
      <c r="H320" s="4" t="str">
        <f t="shared" ca="1" si="5"/>
        <v/>
      </c>
    </row>
    <row r="321" spans="5:8">
      <c r="E321" t="str">
        <f>IF(B321="","",IFERROR(VLOOKUP(B321,csvratings!$A:$R,18,FALSE),"Not Found"))</f>
        <v/>
      </c>
      <c r="F321" t="str">
        <f>IF(C321="","",IFERROR(VLOOKUP(C321,csvratings!$A:$R,18,FALSE),"Not Found"))</f>
        <v/>
      </c>
      <c r="G321" t="str">
        <f>IF(D321="","",IFERROR(VLOOKUP(D321,csvratings!$A:$R,18,FALSE),"Not Found"))</f>
        <v/>
      </c>
      <c r="H321" s="4" t="str">
        <f t="shared" ca="1" si="5"/>
        <v/>
      </c>
    </row>
    <row r="322" spans="5:8">
      <c r="E322" t="str">
        <f>IF(B322="","",IFERROR(VLOOKUP(B322,csvratings!$A:$R,18,FALSE),"Not Found"))</f>
        <v/>
      </c>
      <c r="F322" t="str">
        <f>IF(C322="","",IFERROR(VLOOKUP(C322,csvratings!$A:$R,18,FALSE),"Not Found"))</f>
        <v/>
      </c>
      <c r="G322" t="str">
        <f>IF(D322="","",IFERROR(VLOOKUP(D322,csvratings!$A:$R,18,FALSE),"Not Found"))</f>
        <v/>
      </c>
      <c r="H322" s="4" t="str">
        <f t="shared" ca="1" si="5"/>
        <v/>
      </c>
    </row>
    <row r="323" spans="5:8">
      <c r="E323" t="str">
        <f>IF(B323="","",IFERROR(VLOOKUP(B323,csvratings!$A:$R,18,FALSE),"Not Found"))</f>
        <v/>
      </c>
      <c r="F323" t="str">
        <f>IF(C323="","",IFERROR(VLOOKUP(C323,csvratings!$A:$R,18,FALSE),"Not Found"))</f>
        <v/>
      </c>
      <c r="G323" t="str">
        <f>IF(D323="","",IFERROR(VLOOKUP(D323,csvratings!$A:$R,18,FALSE),"Not Found"))</f>
        <v/>
      </c>
      <c r="H323" s="4" t="str">
        <f t="shared" ref="H323:H386" ca="1" si="6">IF(AND(B323&lt;&gt;"",C323&lt;&gt;"",D323&lt;&gt;""),TODAY(),"")</f>
        <v/>
      </c>
    </row>
    <row r="324" spans="5:8">
      <c r="E324" t="str">
        <f>IF(B324="","",IFERROR(VLOOKUP(B324,csvratings!$A:$R,18,FALSE),"Not Found"))</f>
        <v/>
      </c>
      <c r="F324" t="str">
        <f>IF(C324="","",IFERROR(VLOOKUP(C324,csvratings!$A:$R,18,FALSE),"Not Found"))</f>
        <v/>
      </c>
      <c r="G324" t="str">
        <f>IF(D324="","",IFERROR(VLOOKUP(D324,csvratings!$A:$R,18,FALSE),"Not Found"))</f>
        <v/>
      </c>
      <c r="H324" s="4" t="str">
        <f t="shared" ca="1" si="6"/>
        <v/>
      </c>
    </row>
    <row r="325" spans="5:8">
      <c r="E325" t="str">
        <f>IF(B325="","",IFERROR(VLOOKUP(B325,csvratings!$A:$R,18,FALSE),"Not Found"))</f>
        <v/>
      </c>
      <c r="F325" t="str">
        <f>IF(C325="","",IFERROR(VLOOKUP(C325,csvratings!$A:$R,18,FALSE),"Not Found"))</f>
        <v/>
      </c>
      <c r="G325" t="str">
        <f>IF(D325="","",IFERROR(VLOOKUP(D325,csvratings!$A:$R,18,FALSE),"Not Found"))</f>
        <v/>
      </c>
      <c r="H325" s="4" t="str">
        <f t="shared" ca="1" si="6"/>
        <v/>
      </c>
    </row>
    <row r="326" spans="5:8">
      <c r="E326" t="str">
        <f>IF(B326="","",IFERROR(VLOOKUP(B326,csvratings!$A:$R,18,FALSE),"Not Found"))</f>
        <v/>
      </c>
      <c r="F326" t="str">
        <f>IF(C326="","",IFERROR(VLOOKUP(C326,csvratings!$A:$R,18,FALSE),"Not Found"))</f>
        <v/>
      </c>
      <c r="G326" t="str">
        <f>IF(D326="","",IFERROR(VLOOKUP(D326,csvratings!$A:$R,18,FALSE),"Not Found"))</f>
        <v/>
      </c>
      <c r="H326" s="4" t="str">
        <f t="shared" ca="1" si="6"/>
        <v/>
      </c>
    </row>
    <row r="327" spans="5:8">
      <c r="E327" t="str">
        <f>IF(B327="","",IFERROR(VLOOKUP(B327,csvratings!$A:$R,18,FALSE),"Not Found"))</f>
        <v/>
      </c>
      <c r="F327" t="str">
        <f>IF(C327="","",IFERROR(VLOOKUP(C327,csvratings!$A:$R,18,FALSE),"Not Found"))</f>
        <v/>
      </c>
      <c r="G327" t="str">
        <f>IF(D327="","",IFERROR(VLOOKUP(D327,csvratings!$A:$R,18,FALSE),"Not Found"))</f>
        <v/>
      </c>
      <c r="H327" s="4" t="str">
        <f t="shared" ca="1" si="6"/>
        <v/>
      </c>
    </row>
    <row r="328" spans="5:8">
      <c r="E328" t="str">
        <f>IF(B328="","",IFERROR(VLOOKUP(B328,csvratings!$A:$R,18,FALSE),"Not Found"))</f>
        <v/>
      </c>
      <c r="F328" t="str">
        <f>IF(C328="","",IFERROR(VLOOKUP(C328,csvratings!$A:$R,18,FALSE),"Not Found"))</f>
        <v/>
      </c>
      <c r="G328" t="str">
        <f>IF(D328="","",IFERROR(VLOOKUP(D328,csvratings!$A:$R,18,FALSE),"Not Found"))</f>
        <v/>
      </c>
      <c r="H328" s="4" t="str">
        <f t="shared" ca="1" si="6"/>
        <v/>
      </c>
    </row>
    <row r="329" spans="5:8">
      <c r="E329" t="str">
        <f>IF(B329="","",IFERROR(VLOOKUP(B329,csvratings!$A:$R,18,FALSE),"Not Found"))</f>
        <v/>
      </c>
      <c r="F329" t="str">
        <f>IF(C329="","",IFERROR(VLOOKUP(C329,csvratings!$A:$R,18,FALSE),"Not Found"))</f>
        <v/>
      </c>
      <c r="G329" t="str">
        <f>IF(D329="","",IFERROR(VLOOKUP(D329,csvratings!$A:$R,18,FALSE),"Not Found"))</f>
        <v/>
      </c>
      <c r="H329" s="4" t="str">
        <f t="shared" ca="1" si="6"/>
        <v/>
      </c>
    </row>
    <row r="330" spans="5:8">
      <c r="E330" t="str">
        <f>IF(B330="","",IFERROR(VLOOKUP(B330,csvratings!$A:$R,18,FALSE),"Not Found"))</f>
        <v/>
      </c>
      <c r="F330" t="str">
        <f>IF(C330="","",IFERROR(VLOOKUP(C330,csvratings!$A:$R,18,FALSE),"Not Found"))</f>
        <v/>
      </c>
      <c r="G330" t="str">
        <f>IF(D330="","",IFERROR(VLOOKUP(D330,csvratings!$A:$R,18,FALSE),"Not Found"))</f>
        <v/>
      </c>
      <c r="H330" s="4" t="str">
        <f t="shared" ca="1" si="6"/>
        <v/>
      </c>
    </row>
    <row r="331" spans="5:8">
      <c r="E331" t="str">
        <f>IF(B331="","",IFERROR(VLOOKUP(B331,csvratings!$A:$R,18,FALSE),"Not Found"))</f>
        <v/>
      </c>
      <c r="F331" t="str">
        <f>IF(C331="","",IFERROR(VLOOKUP(C331,csvratings!$A:$R,18,FALSE),"Not Found"))</f>
        <v/>
      </c>
      <c r="G331" t="str">
        <f>IF(D331="","",IFERROR(VLOOKUP(D331,csvratings!$A:$R,18,FALSE),"Not Found"))</f>
        <v/>
      </c>
      <c r="H331" s="4" t="str">
        <f t="shared" ca="1" si="6"/>
        <v/>
      </c>
    </row>
    <row r="332" spans="5:8">
      <c r="E332" t="str">
        <f>IF(B332="","",IFERROR(VLOOKUP(B332,csvratings!$A:$R,18,FALSE),"Not Found"))</f>
        <v/>
      </c>
      <c r="F332" t="str">
        <f>IF(C332="","",IFERROR(VLOOKUP(C332,csvratings!$A:$R,18,FALSE),"Not Found"))</f>
        <v/>
      </c>
      <c r="G332" t="str">
        <f>IF(D332="","",IFERROR(VLOOKUP(D332,csvratings!$A:$R,18,FALSE),"Not Found"))</f>
        <v/>
      </c>
      <c r="H332" s="4" t="str">
        <f t="shared" ca="1" si="6"/>
        <v/>
      </c>
    </row>
    <row r="333" spans="5:8">
      <c r="E333" t="str">
        <f>IF(B333="","",IFERROR(VLOOKUP(B333,csvratings!$A:$R,18,FALSE),"Not Found"))</f>
        <v/>
      </c>
      <c r="F333" t="str">
        <f>IF(C333="","",IFERROR(VLOOKUP(C333,csvratings!$A:$R,18,FALSE),"Not Found"))</f>
        <v/>
      </c>
      <c r="G333" t="str">
        <f>IF(D333="","",IFERROR(VLOOKUP(D333,csvratings!$A:$R,18,FALSE),"Not Found"))</f>
        <v/>
      </c>
      <c r="H333" s="4" t="str">
        <f t="shared" ca="1" si="6"/>
        <v/>
      </c>
    </row>
    <row r="334" spans="5:8">
      <c r="E334" t="str">
        <f>IF(B334="","",IFERROR(VLOOKUP(B334,csvratings!$A:$R,18,FALSE),"Not Found"))</f>
        <v/>
      </c>
      <c r="F334" t="str">
        <f>IF(C334="","",IFERROR(VLOOKUP(C334,csvratings!$A:$R,18,FALSE),"Not Found"))</f>
        <v/>
      </c>
      <c r="G334" t="str">
        <f>IF(D334="","",IFERROR(VLOOKUP(D334,csvratings!$A:$R,18,FALSE),"Not Found"))</f>
        <v/>
      </c>
      <c r="H334" s="4" t="str">
        <f t="shared" ca="1" si="6"/>
        <v/>
      </c>
    </row>
    <row r="335" spans="5:8">
      <c r="E335" t="str">
        <f>IF(B335="","",IFERROR(VLOOKUP(B335,csvratings!$A:$R,18,FALSE),"Not Found"))</f>
        <v/>
      </c>
      <c r="F335" t="str">
        <f>IF(C335="","",IFERROR(VLOOKUP(C335,csvratings!$A:$R,18,FALSE),"Not Found"))</f>
        <v/>
      </c>
      <c r="G335" t="str">
        <f>IF(D335="","",IFERROR(VLOOKUP(D335,csvratings!$A:$R,18,FALSE),"Not Found"))</f>
        <v/>
      </c>
      <c r="H335" s="4" t="str">
        <f t="shared" ca="1" si="6"/>
        <v/>
      </c>
    </row>
    <row r="336" spans="5:8">
      <c r="E336" t="str">
        <f>IF(B336="","",IFERROR(VLOOKUP(B336,csvratings!$A:$R,18,FALSE),"Not Found"))</f>
        <v/>
      </c>
      <c r="F336" t="str">
        <f>IF(C336="","",IFERROR(VLOOKUP(C336,csvratings!$A:$R,18,FALSE),"Not Found"))</f>
        <v/>
      </c>
      <c r="G336" t="str">
        <f>IF(D336="","",IFERROR(VLOOKUP(D336,csvratings!$A:$R,18,FALSE),"Not Found"))</f>
        <v/>
      </c>
      <c r="H336" s="4" t="str">
        <f t="shared" ca="1" si="6"/>
        <v/>
      </c>
    </row>
    <row r="337" spans="5:8">
      <c r="E337" t="str">
        <f>IF(B337="","",IFERROR(VLOOKUP(B337,csvratings!$A:$R,18,FALSE),"Not Found"))</f>
        <v/>
      </c>
      <c r="F337" t="str">
        <f>IF(C337="","",IFERROR(VLOOKUP(C337,csvratings!$A:$R,18,FALSE),"Not Found"))</f>
        <v/>
      </c>
      <c r="G337" t="str">
        <f>IF(D337="","",IFERROR(VLOOKUP(D337,csvratings!$A:$R,18,FALSE),"Not Found"))</f>
        <v/>
      </c>
      <c r="H337" s="4" t="str">
        <f t="shared" ca="1" si="6"/>
        <v/>
      </c>
    </row>
    <row r="338" spans="5:8">
      <c r="E338" t="str">
        <f>IF(B338="","",IFERROR(VLOOKUP(B338,csvratings!$A:$R,18,FALSE),"Not Found"))</f>
        <v/>
      </c>
      <c r="F338" t="str">
        <f>IF(C338="","",IFERROR(VLOOKUP(C338,csvratings!$A:$R,18,FALSE),"Not Found"))</f>
        <v/>
      </c>
      <c r="G338" t="str">
        <f>IF(D338="","",IFERROR(VLOOKUP(D338,csvratings!$A:$R,18,FALSE),"Not Found"))</f>
        <v/>
      </c>
      <c r="H338" s="4" t="str">
        <f t="shared" ca="1" si="6"/>
        <v/>
      </c>
    </row>
    <row r="339" spans="5:8">
      <c r="E339" t="str">
        <f>IF(B339="","",IFERROR(VLOOKUP(B339,csvratings!$A:$R,18,FALSE),"Not Found"))</f>
        <v/>
      </c>
      <c r="F339" t="str">
        <f>IF(C339="","",IFERROR(VLOOKUP(C339,csvratings!$A:$R,18,FALSE),"Not Found"))</f>
        <v/>
      </c>
      <c r="G339" t="str">
        <f>IF(D339="","",IFERROR(VLOOKUP(D339,csvratings!$A:$R,18,FALSE),"Not Found"))</f>
        <v/>
      </c>
      <c r="H339" s="4" t="str">
        <f t="shared" ca="1" si="6"/>
        <v/>
      </c>
    </row>
    <row r="340" spans="5:8">
      <c r="E340" t="str">
        <f>IF(B340="","",IFERROR(VLOOKUP(B340,csvratings!$A:$R,18,FALSE),"Not Found"))</f>
        <v/>
      </c>
      <c r="F340" t="str">
        <f>IF(C340="","",IFERROR(VLOOKUP(C340,csvratings!$A:$R,18,FALSE),"Not Found"))</f>
        <v/>
      </c>
      <c r="G340" t="str">
        <f>IF(D340="","",IFERROR(VLOOKUP(D340,csvratings!$A:$R,18,FALSE),"Not Found"))</f>
        <v/>
      </c>
      <c r="H340" s="4" t="str">
        <f t="shared" ca="1" si="6"/>
        <v/>
      </c>
    </row>
    <row r="341" spans="5:8">
      <c r="E341" t="str">
        <f>IF(B341="","",IFERROR(VLOOKUP(B341,csvratings!$A:$R,18,FALSE),"Not Found"))</f>
        <v/>
      </c>
      <c r="F341" t="str">
        <f>IF(C341="","",IFERROR(VLOOKUP(C341,csvratings!$A:$R,18,FALSE),"Not Found"))</f>
        <v/>
      </c>
      <c r="G341" t="str">
        <f>IF(D341="","",IFERROR(VLOOKUP(D341,csvratings!$A:$R,18,FALSE),"Not Found"))</f>
        <v/>
      </c>
      <c r="H341" s="4" t="str">
        <f t="shared" ca="1" si="6"/>
        <v/>
      </c>
    </row>
    <row r="342" spans="5:8">
      <c r="E342" t="str">
        <f>IF(B342="","",IFERROR(VLOOKUP(B342,csvratings!$A:$R,18,FALSE),"Not Found"))</f>
        <v/>
      </c>
      <c r="F342" t="str">
        <f>IF(C342="","",IFERROR(VLOOKUP(C342,csvratings!$A:$R,18,FALSE),"Not Found"))</f>
        <v/>
      </c>
      <c r="G342" t="str">
        <f>IF(D342="","",IFERROR(VLOOKUP(D342,csvratings!$A:$R,18,FALSE),"Not Found"))</f>
        <v/>
      </c>
      <c r="H342" s="4" t="str">
        <f t="shared" ca="1" si="6"/>
        <v/>
      </c>
    </row>
    <row r="343" spans="5:8">
      <c r="E343" t="str">
        <f>IF(B343="","",IFERROR(VLOOKUP(B343,csvratings!$A:$R,18,FALSE),"Not Found"))</f>
        <v/>
      </c>
      <c r="F343" t="str">
        <f>IF(C343="","",IFERROR(VLOOKUP(C343,csvratings!$A:$R,18,FALSE),"Not Found"))</f>
        <v/>
      </c>
      <c r="G343" t="str">
        <f>IF(D343="","",IFERROR(VLOOKUP(D343,csvratings!$A:$R,18,FALSE),"Not Found"))</f>
        <v/>
      </c>
      <c r="H343" s="4" t="str">
        <f t="shared" ca="1" si="6"/>
        <v/>
      </c>
    </row>
    <row r="344" spans="5:8">
      <c r="E344" t="str">
        <f>IF(B344="","",IFERROR(VLOOKUP(B344,csvratings!$A:$R,18,FALSE),"Not Found"))</f>
        <v/>
      </c>
      <c r="F344" t="str">
        <f>IF(C344="","",IFERROR(VLOOKUP(C344,csvratings!$A:$R,18,FALSE),"Not Found"))</f>
        <v/>
      </c>
      <c r="G344" t="str">
        <f>IF(D344="","",IFERROR(VLOOKUP(D344,csvratings!$A:$R,18,FALSE),"Not Found"))</f>
        <v/>
      </c>
      <c r="H344" s="4" t="str">
        <f t="shared" ca="1" si="6"/>
        <v/>
      </c>
    </row>
    <row r="345" spans="5:8">
      <c r="E345" t="str">
        <f>IF(B345="","",IFERROR(VLOOKUP(B345,csvratings!$A:$R,18,FALSE),"Not Found"))</f>
        <v/>
      </c>
      <c r="F345" t="str">
        <f>IF(C345="","",IFERROR(VLOOKUP(C345,csvratings!$A:$R,18,FALSE),"Not Found"))</f>
        <v/>
      </c>
      <c r="G345" t="str">
        <f>IF(D345="","",IFERROR(VLOOKUP(D345,csvratings!$A:$R,18,FALSE),"Not Found"))</f>
        <v/>
      </c>
      <c r="H345" s="4" t="str">
        <f t="shared" ca="1" si="6"/>
        <v/>
      </c>
    </row>
    <row r="346" spans="5:8">
      <c r="E346" t="str">
        <f>IF(B346="","",IFERROR(VLOOKUP(B346,csvratings!$A:$R,18,FALSE),"Not Found"))</f>
        <v/>
      </c>
      <c r="F346" t="str">
        <f>IF(C346="","",IFERROR(VLOOKUP(C346,csvratings!$A:$R,18,FALSE),"Not Found"))</f>
        <v/>
      </c>
      <c r="G346" t="str">
        <f>IF(D346="","",IFERROR(VLOOKUP(D346,csvratings!$A:$R,18,FALSE),"Not Found"))</f>
        <v/>
      </c>
      <c r="H346" s="4" t="str">
        <f t="shared" ca="1" si="6"/>
        <v/>
      </c>
    </row>
    <row r="347" spans="5:8">
      <c r="E347" t="str">
        <f>IF(B347="","",IFERROR(VLOOKUP(B347,csvratings!$A:$R,18,FALSE),"Not Found"))</f>
        <v/>
      </c>
      <c r="F347" t="str">
        <f>IF(C347="","",IFERROR(VLOOKUP(C347,csvratings!$A:$R,18,FALSE),"Not Found"))</f>
        <v/>
      </c>
      <c r="G347" t="str">
        <f>IF(D347="","",IFERROR(VLOOKUP(D347,csvratings!$A:$R,18,FALSE),"Not Found"))</f>
        <v/>
      </c>
      <c r="H347" s="4" t="str">
        <f t="shared" ca="1" si="6"/>
        <v/>
      </c>
    </row>
    <row r="348" spans="5:8">
      <c r="E348" t="str">
        <f>IF(B348="","",IFERROR(VLOOKUP(B348,csvratings!$A:$R,18,FALSE),"Not Found"))</f>
        <v/>
      </c>
      <c r="F348" t="str">
        <f>IF(C348="","",IFERROR(VLOOKUP(C348,csvratings!$A:$R,18,FALSE),"Not Found"))</f>
        <v/>
      </c>
      <c r="G348" t="str">
        <f>IF(D348="","",IFERROR(VLOOKUP(D348,csvratings!$A:$R,18,FALSE),"Not Found"))</f>
        <v/>
      </c>
      <c r="H348" s="4" t="str">
        <f t="shared" ca="1" si="6"/>
        <v/>
      </c>
    </row>
    <row r="349" spans="5:8">
      <c r="E349" t="str">
        <f>IF(B349="","",IFERROR(VLOOKUP(B349,csvratings!$A:$R,18,FALSE),"Not Found"))</f>
        <v/>
      </c>
      <c r="F349" t="str">
        <f>IF(C349="","",IFERROR(VLOOKUP(C349,csvratings!$A:$R,18,FALSE),"Not Found"))</f>
        <v/>
      </c>
      <c r="G349" t="str">
        <f>IF(D349="","",IFERROR(VLOOKUP(D349,csvratings!$A:$R,18,FALSE),"Not Found"))</f>
        <v/>
      </c>
      <c r="H349" s="4" t="str">
        <f t="shared" ca="1" si="6"/>
        <v/>
      </c>
    </row>
    <row r="350" spans="5:8">
      <c r="E350" t="str">
        <f>IF(B350="","",IFERROR(VLOOKUP(B350,csvratings!$A:$R,18,FALSE),"Not Found"))</f>
        <v/>
      </c>
      <c r="F350" t="str">
        <f>IF(C350="","",IFERROR(VLOOKUP(C350,csvratings!$A:$R,18,FALSE),"Not Found"))</f>
        <v/>
      </c>
      <c r="G350" t="str">
        <f>IF(D350="","",IFERROR(VLOOKUP(D350,csvratings!$A:$R,18,FALSE),"Not Found"))</f>
        <v/>
      </c>
      <c r="H350" s="4" t="str">
        <f t="shared" ca="1" si="6"/>
        <v/>
      </c>
    </row>
    <row r="351" spans="5:8">
      <c r="E351" t="str">
        <f>IF(B351="","",IFERROR(VLOOKUP(B351,csvratings!$A:$R,18,FALSE),"Not Found"))</f>
        <v/>
      </c>
      <c r="F351" t="str">
        <f>IF(C351="","",IFERROR(VLOOKUP(C351,csvratings!$A:$R,18,FALSE),"Not Found"))</f>
        <v/>
      </c>
      <c r="G351" t="str">
        <f>IF(D351="","",IFERROR(VLOOKUP(D351,csvratings!$A:$R,18,FALSE),"Not Found"))</f>
        <v/>
      </c>
      <c r="H351" s="4" t="str">
        <f t="shared" ca="1" si="6"/>
        <v/>
      </c>
    </row>
    <row r="352" spans="5:8">
      <c r="E352" t="str">
        <f>IF(B352="","",IFERROR(VLOOKUP(B352,csvratings!$A:$R,18,FALSE),"Not Found"))</f>
        <v/>
      </c>
      <c r="F352" t="str">
        <f>IF(C352="","",IFERROR(VLOOKUP(C352,csvratings!$A:$R,18,FALSE),"Not Found"))</f>
        <v/>
      </c>
      <c r="G352" t="str">
        <f>IF(D352="","",IFERROR(VLOOKUP(D352,csvratings!$A:$R,18,FALSE),"Not Found"))</f>
        <v/>
      </c>
      <c r="H352" s="4" t="str">
        <f t="shared" ca="1" si="6"/>
        <v/>
      </c>
    </row>
    <row r="353" spans="5:8">
      <c r="E353" t="str">
        <f>IF(B353="","",IFERROR(VLOOKUP(B353,csvratings!$A:$R,18,FALSE),"Not Found"))</f>
        <v/>
      </c>
      <c r="F353" t="str">
        <f>IF(C353="","",IFERROR(VLOOKUP(C353,csvratings!$A:$R,18,FALSE),"Not Found"))</f>
        <v/>
      </c>
      <c r="G353" t="str">
        <f>IF(D353="","",IFERROR(VLOOKUP(D353,csvratings!$A:$R,18,FALSE),"Not Found"))</f>
        <v/>
      </c>
      <c r="H353" s="4" t="str">
        <f t="shared" ca="1" si="6"/>
        <v/>
      </c>
    </row>
    <row r="354" spans="5:8">
      <c r="E354" t="str">
        <f>IF(B354="","",IFERROR(VLOOKUP(B354,csvratings!$A:$R,18,FALSE),"Not Found"))</f>
        <v/>
      </c>
      <c r="F354" t="str">
        <f>IF(C354="","",IFERROR(VLOOKUP(C354,csvratings!$A:$R,18,FALSE),"Not Found"))</f>
        <v/>
      </c>
      <c r="G354" t="str">
        <f>IF(D354="","",IFERROR(VLOOKUP(D354,csvratings!$A:$R,18,FALSE),"Not Found"))</f>
        <v/>
      </c>
      <c r="H354" s="4" t="str">
        <f t="shared" ca="1" si="6"/>
        <v/>
      </c>
    </row>
    <row r="355" spans="5:8">
      <c r="E355" t="str">
        <f>IF(B355="","",IFERROR(VLOOKUP(B355,csvratings!$A:$R,18,FALSE),"Not Found"))</f>
        <v/>
      </c>
      <c r="F355" t="str">
        <f>IF(C355="","",IFERROR(VLOOKUP(C355,csvratings!$A:$R,18,FALSE),"Not Found"))</f>
        <v/>
      </c>
      <c r="G355" t="str">
        <f>IF(D355="","",IFERROR(VLOOKUP(D355,csvratings!$A:$R,18,FALSE),"Not Found"))</f>
        <v/>
      </c>
      <c r="H355" s="4" t="str">
        <f t="shared" ca="1" si="6"/>
        <v/>
      </c>
    </row>
    <row r="356" spans="5:8">
      <c r="E356" t="str">
        <f>IF(B356="","",IFERROR(VLOOKUP(B356,csvratings!$A:$R,18,FALSE),"Not Found"))</f>
        <v/>
      </c>
      <c r="F356" t="str">
        <f>IF(C356="","",IFERROR(VLOOKUP(C356,csvratings!$A:$R,18,FALSE),"Not Found"))</f>
        <v/>
      </c>
      <c r="G356" t="str">
        <f>IF(D356="","",IFERROR(VLOOKUP(D356,csvratings!$A:$R,18,FALSE),"Not Found"))</f>
        <v/>
      </c>
      <c r="H356" s="4" t="str">
        <f t="shared" ca="1" si="6"/>
        <v/>
      </c>
    </row>
    <row r="357" spans="5:8">
      <c r="E357" t="str">
        <f>IF(B357="","",IFERROR(VLOOKUP(B357,csvratings!$A:$R,18,FALSE),"Not Found"))</f>
        <v/>
      </c>
      <c r="F357" t="str">
        <f>IF(C357="","",IFERROR(VLOOKUP(C357,csvratings!$A:$R,18,FALSE),"Not Found"))</f>
        <v/>
      </c>
      <c r="G357" t="str">
        <f>IF(D357="","",IFERROR(VLOOKUP(D357,csvratings!$A:$R,18,FALSE),"Not Found"))</f>
        <v/>
      </c>
      <c r="H357" s="4" t="str">
        <f t="shared" ca="1" si="6"/>
        <v/>
      </c>
    </row>
    <row r="358" spans="5:8">
      <c r="E358" t="str">
        <f>IF(B358="","",IFERROR(VLOOKUP(B358,csvratings!$A:$R,18,FALSE),"Not Found"))</f>
        <v/>
      </c>
      <c r="F358" t="str">
        <f>IF(C358="","",IFERROR(VLOOKUP(C358,csvratings!$A:$R,18,FALSE),"Not Found"))</f>
        <v/>
      </c>
      <c r="G358" t="str">
        <f>IF(D358="","",IFERROR(VLOOKUP(D358,csvratings!$A:$R,18,FALSE),"Not Found"))</f>
        <v/>
      </c>
      <c r="H358" s="4" t="str">
        <f t="shared" ca="1" si="6"/>
        <v/>
      </c>
    </row>
    <row r="359" spans="5:8">
      <c r="E359" t="str">
        <f>IF(B359="","",IFERROR(VLOOKUP(B359,csvratings!$A:$R,18,FALSE),"Not Found"))</f>
        <v/>
      </c>
      <c r="F359" t="str">
        <f>IF(C359="","",IFERROR(VLOOKUP(C359,csvratings!$A:$R,18,FALSE),"Not Found"))</f>
        <v/>
      </c>
      <c r="G359" t="str">
        <f>IF(D359="","",IFERROR(VLOOKUP(D359,csvratings!$A:$R,18,FALSE),"Not Found"))</f>
        <v/>
      </c>
      <c r="H359" s="4" t="str">
        <f t="shared" ca="1" si="6"/>
        <v/>
      </c>
    </row>
    <row r="360" spans="5:8">
      <c r="E360" t="str">
        <f>IF(B360="","",IFERROR(VLOOKUP(B360,csvratings!$A:$R,18,FALSE),"Not Found"))</f>
        <v/>
      </c>
      <c r="F360" t="str">
        <f>IF(C360="","",IFERROR(VLOOKUP(C360,csvratings!$A:$R,18,FALSE),"Not Found"))</f>
        <v/>
      </c>
      <c r="G360" t="str">
        <f>IF(D360="","",IFERROR(VLOOKUP(D360,csvratings!$A:$R,18,FALSE),"Not Found"))</f>
        <v/>
      </c>
      <c r="H360" s="4" t="str">
        <f t="shared" ca="1" si="6"/>
        <v/>
      </c>
    </row>
    <row r="361" spans="5:8">
      <c r="E361" t="str">
        <f>IF(B361="","",IFERROR(VLOOKUP(B361,csvratings!$A:$R,18,FALSE),"Not Found"))</f>
        <v/>
      </c>
      <c r="F361" t="str">
        <f>IF(C361="","",IFERROR(VLOOKUP(C361,csvratings!$A:$R,18,FALSE),"Not Found"))</f>
        <v/>
      </c>
      <c r="G361" t="str">
        <f>IF(D361="","",IFERROR(VLOOKUP(D361,csvratings!$A:$R,18,FALSE),"Not Found"))</f>
        <v/>
      </c>
      <c r="H361" s="4" t="str">
        <f t="shared" ca="1" si="6"/>
        <v/>
      </c>
    </row>
    <row r="362" spans="5:8">
      <c r="E362" t="str">
        <f>IF(B362="","",IFERROR(VLOOKUP(B362,csvratings!$A:$R,18,FALSE),"Not Found"))</f>
        <v/>
      </c>
      <c r="F362" t="str">
        <f>IF(C362="","",IFERROR(VLOOKUP(C362,csvratings!$A:$R,18,FALSE),"Not Found"))</f>
        <v/>
      </c>
      <c r="G362" t="str">
        <f>IF(D362="","",IFERROR(VLOOKUP(D362,csvratings!$A:$R,18,FALSE),"Not Found"))</f>
        <v/>
      </c>
      <c r="H362" s="4" t="str">
        <f t="shared" ca="1" si="6"/>
        <v/>
      </c>
    </row>
    <row r="363" spans="5:8">
      <c r="E363" t="str">
        <f>IF(B363="","",IFERROR(VLOOKUP(B363,csvratings!$A:$R,18,FALSE),"Not Found"))</f>
        <v/>
      </c>
      <c r="F363" t="str">
        <f>IF(C363="","",IFERROR(VLOOKUP(C363,csvratings!$A:$R,18,FALSE),"Not Found"))</f>
        <v/>
      </c>
      <c r="G363" t="str">
        <f>IF(D363="","",IFERROR(VLOOKUP(D363,csvratings!$A:$R,18,FALSE),"Not Found"))</f>
        <v/>
      </c>
      <c r="H363" s="4" t="str">
        <f t="shared" ca="1" si="6"/>
        <v/>
      </c>
    </row>
    <row r="364" spans="5:8">
      <c r="E364" t="str">
        <f>IF(B364="","",IFERROR(VLOOKUP(B364,csvratings!$A:$R,18,FALSE),"Not Found"))</f>
        <v/>
      </c>
      <c r="F364" t="str">
        <f>IF(C364="","",IFERROR(VLOOKUP(C364,csvratings!$A:$R,18,FALSE),"Not Found"))</f>
        <v/>
      </c>
      <c r="G364" t="str">
        <f>IF(D364="","",IFERROR(VLOOKUP(D364,csvratings!$A:$R,18,FALSE),"Not Found"))</f>
        <v/>
      </c>
      <c r="H364" s="4" t="str">
        <f t="shared" ca="1" si="6"/>
        <v/>
      </c>
    </row>
    <row r="365" spans="5:8">
      <c r="E365" t="str">
        <f>IF(B365="","",IFERROR(VLOOKUP(B365,csvratings!$A:$R,18,FALSE),"Not Found"))</f>
        <v/>
      </c>
      <c r="F365" t="str">
        <f>IF(C365="","",IFERROR(VLOOKUP(C365,csvratings!$A:$R,18,FALSE),"Not Found"))</f>
        <v/>
      </c>
      <c r="G365" t="str">
        <f>IF(D365="","",IFERROR(VLOOKUP(D365,csvratings!$A:$R,18,FALSE),"Not Found"))</f>
        <v/>
      </c>
      <c r="H365" s="4" t="str">
        <f t="shared" ca="1" si="6"/>
        <v/>
      </c>
    </row>
    <row r="366" spans="5:8">
      <c r="E366" t="str">
        <f>IF(B366="","",IFERROR(VLOOKUP(B366,csvratings!$A:$R,18,FALSE),"Not Found"))</f>
        <v/>
      </c>
      <c r="F366" t="str">
        <f>IF(C366="","",IFERROR(VLOOKUP(C366,csvratings!$A:$R,18,FALSE),"Not Found"))</f>
        <v/>
      </c>
      <c r="G366" t="str">
        <f>IF(D366="","",IFERROR(VLOOKUP(D366,csvratings!$A:$R,18,FALSE),"Not Found"))</f>
        <v/>
      </c>
      <c r="H366" s="4" t="str">
        <f t="shared" ca="1" si="6"/>
        <v/>
      </c>
    </row>
    <row r="367" spans="5:8">
      <c r="E367" t="str">
        <f>IF(B367="","",IFERROR(VLOOKUP(B367,csvratings!$A:$R,18,FALSE),"Not Found"))</f>
        <v/>
      </c>
      <c r="F367" t="str">
        <f>IF(C367="","",IFERROR(VLOOKUP(C367,csvratings!$A:$R,18,FALSE),"Not Found"))</f>
        <v/>
      </c>
      <c r="G367" t="str">
        <f>IF(D367="","",IFERROR(VLOOKUP(D367,csvratings!$A:$R,18,FALSE),"Not Found"))</f>
        <v/>
      </c>
      <c r="H367" s="4" t="str">
        <f t="shared" ca="1" si="6"/>
        <v/>
      </c>
    </row>
    <row r="368" spans="5:8">
      <c r="E368" t="str">
        <f>IF(B368="","",IFERROR(VLOOKUP(B368,csvratings!$A:$R,18,FALSE),"Not Found"))</f>
        <v/>
      </c>
      <c r="F368" t="str">
        <f>IF(C368="","",IFERROR(VLOOKUP(C368,csvratings!$A:$R,18,FALSE),"Not Found"))</f>
        <v/>
      </c>
      <c r="G368" t="str">
        <f>IF(D368="","",IFERROR(VLOOKUP(D368,csvratings!$A:$R,18,FALSE),"Not Found"))</f>
        <v/>
      </c>
      <c r="H368" s="4" t="str">
        <f t="shared" ca="1" si="6"/>
        <v/>
      </c>
    </row>
    <row r="369" spans="5:8">
      <c r="E369" t="str">
        <f>IF(B369="","",IFERROR(VLOOKUP(B369,csvratings!$A:$R,18,FALSE),"Not Found"))</f>
        <v/>
      </c>
      <c r="F369" t="str">
        <f>IF(C369="","",IFERROR(VLOOKUP(C369,csvratings!$A:$R,18,FALSE),"Not Found"))</f>
        <v/>
      </c>
      <c r="G369" t="str">
        <f>IF(D369="","",IFERROR(VLOOKUP(D369,csvratings!$A:$R,18,FALSE),"Not Found"))</f>
        <v/>
      </c>
      <c r="H369" s="4" t="str">
        <f t="shared" ca="1" si="6"/>
        <v/>
      </c>
    </row>
    <row r="370" spans="5:8">
      <c r="E370" t="str">
        <f>IF(B370="","",IFERROR(VLOOKUP(B370,csvratings!$A:$R,18,FALSE),"Not Found"))</f>
        <v/>
      </c>
      <c r="F370" t="str">
        <f>IF(C370="","",IFERROR(VLOOKUP(C370,csvratings!$A:$R,18,FALSE),"Not Found"))</f>
        <v/>
      </c>
      <c r="G370" t="str">
        <f>IF(D370="","",IFERROR(VLOOKUP(D370,csvratings!$A:$R,18,FALSE),"Not Found"))</f>
        <v/>
      </c>
      <c r="H370" s="4" t="str">
        <f t="shared" ca="1" si="6"/>
        <v/>
      </c>
    </row>
    <row r="371" spans="5:8">
      <c r="E371" t="str">
        <f>IF(B371="","",IFERROR(VLOOKUP(B371,csvratings!$A:$R,18,FALSE),"Not Found"))</f>
        <v/>
      </c>
      <c r="F371" t="str">
        <f>IF(C371="","",IFERROR(VLOOKUP(C371,csvratings!$A:$R,18,FALSE),"Not Found"))</f>
        <v/>
      </c>
      <c r="G371" t="str">
        <f>IF(D371="","",IFERROR(VLOOKUP(D371,csvratings!$A:$R,18,FALSE),"Not Found"))</f>
        <v/>
      </c>
      <c r="H371" s="4" t="str">
        <f t="shared" ca="1" si="6"/>
        <v/>
      </c>
    </row>
    <row r="372" spans="5:8">
      <c r="E372" t="str">
        <f>IF(B372="","",IFERROR(VLOOKUP(B372,csvratings!$A:$R,18,FALSE),"Not Found"))</f>
        <v/>
      </c>
      <c r="F372" t="str">
        <f>IF(C372="","",IFERROR(VLOOKUP(C372,csvratings!$A:$R,18,FALSE),"Not Found"))</f>
        <v/>
      </c>
      <c r="G372" t="str">
        <f>IF(D372="","",IFERROR(VLOOKUP(D372,csvratings!$A:$R,18,FALSE),"Not Found"))</f>
        <v/>
      </c>
      <c r="H372" s="4" t="str">
        <f t="shared" ca="1" si="6"/>
        <v/>
      </c>
    </row>
    <row r="373" spans="5:8">
      <c r="E373" t="str">
        <f>IF(B373="","",IFERROR(VLOOKUP(B373,csvratings!$A:$R,18,FALSE),"Not Found"))</f>
        <v/>
      </c>
      <c r="F373" t="str">
        <f>IF(C373="","",IFERROR(VLOOKUP(C373,csvratings!$A:$R,18,FALSE),"Not Found"))</f>
        <v/>
      </c>
      <c r="G373" t="str">
        <f>IF(D373="","",IFERROR(VLOOKUP(D373,csvratings!$A:$R,18,FALSE),"Not Found"))</f>
        <v/>
      </c>
      <c r="H373" s="4" t="str">
        <f t="shared" ca="1" si="6"/>
        <v/>
      </c>
    </row>
    <row r="374" spans="5:8">
      <c r="E374" t="str">
        <f>IF(B374="","",IFERROR(VLOOKUP(B374,csvratings!$A:$R,18,FALSE),"Not Found"))</f>
        <v/>
      </c>
      <c r="F374" t="str">
        <f>IF(C374="","",IFERROR(VLOOKUP(C374,csvratings!$A:$R,18,FALSE),"Not Found"))</f>
        <v/>
      </c>
      <c r="G374" t="str">
        <f>IF(D374="","",IFERROR(VLOOKUP(D374,csvratings!$A:$R,18,FALSE),"Not Found"))</f>
        <v/>
      </c>
      <c r="H374" s="4" t="str">
        <f t="shared" ca="1" si="6"/>
        <v/>
      </c>
    </row>
    <row r="375" spans="5:8">
      <c r="E375" t="str">
        <f>IF(B375="","",IFERROR(VLOOKUP(B375,csvratings!$A:$R,18,FALSE),"Not Found"))</f>
        <v/>
      </c>
      <c r="F375" t="str">
        <f>IF(C375="","",IFERROR(VLOOKUP(C375,csvratings!$A:$R,18,FALSE),"Not Found"))</f>
        <v/>
      </c>
      <c r="G375" t="str">
        <f>IF(D375="","",IFERROR(VLOOKUP(D375,csvratings!$A:$R,18,FALSE),"Not Found"))</f>
        <v/>
      </c>
      <c r="H375" s="4" t="str">
        <f t="shared" ca="1" si="6"/>
        <v/>
      </c>
    </row>
    <row r="376" spans="5:8">
      <c r="E376" t="str">
        <f>IF(B376="","",IFERROR(VLOOKUP(B376,csvratings!$A:$R,18,FALSE),"Not Found"))</f>
        <v/>
      </c>
      <c r="F376" t="str">
        <f>IF(C376="","",IFERROR(VLOOKUP(C376,csvratings!$A:$R,18,FALSE),"Not Found"))</f>
        <v/>
      </c>
      <c r="G376" t="str">
        <f>IF(D376="","",IFERROR(VLOOKUP(D376,csvratings!$A:$R,18,FALSE),"Not Found"))</f>
        <v/>
      </c>
      <c r="H376" s="4" t="str">
        <f t="shared" ca="1" si="6"/>
        <v/>
      </c>
    </row>
    <row r="377" spans="5:8">
      <c r="E377" t="str">
        <f>IF(B377="","",IFERROR(VLOOKUP(B377,csvratings!$A:$R,18,FALSE),"Not Found"))</f>
        <v/>
      </c>
      <c r="F377" t="str">
        <f>IF(C377="","",IFERROR(VLOOKUP(C377,csvratings!$A:$R,18,FALSE),"Not Found"))</f>
        <v/>
      </c>
      <c r="G377" t="str">
        <f>IF(D377="","",IFERROR(VLOOKUP(D377,csvratings!$A:$R,18,FALSE),"Not Found"))</f>
        <v/>
      </c>
      <c r="H377" s="4" t="str">
        <f t="shared" ca="1" si="6"/>
        <v/>
      </c>
    </row>
    <row r="378" spans="5:8">
      <c r="E378" t="str">
        <f>IF(B378="","",IFERROR(VLOOKUP(B378,csvratings!$A:$R,18,FALSE),"Not Found"))</f>
        <v/>
      </c>
      <c r="F378" t="str">
        <f>IF(C378="","",IFERROR(VLOOKUP(C378,csvratings!$A:$R,18,FALSE),"Not Found"))</f>
        <v/>
      </c>
      <c r="G378" t="str">
        <f>IF(D378="","",IFERROR(VLOOKUP(D378,csvratings!$A:$R,18,FALSE),"Not Found"))</f>
        <v/>
      </c>
      <c r="H378" s="4" t="str">
        <f t="shared" ca="1" si="6"/>
        <v/>
      </c>
    </row>
    <row r="379" spans="5:8">
      <c r="E379" t="str">
        <f>IF(B379="","",IFERROR(VLOOKUP(B379,csvratings!$A:$R,18,FALSE),"Not Found"))</f>
        <v/>
      </c>
      <c r="F379" t="str">
        <f>IF(C379="","",IFERROR(VLOOKUP(C379,csvratings!$A:$R,18,FALSE),"Not Found"))</f>
        <v/>
      </c>
      <c r="G379" t="str">
        <f>IF(D379="","",IFERROR(VLOOKUP(D379,csvratings!$A:$R,18,FALSE),"Not Found"))</f>
        <v/>
      </c>
      <c r="H379" s="4" t="str">
        <f t="shared" ca="1" si="6"/>
        <v/>
      </c>
    </row>
    <row r="380" spans="5:8">
      <c r="E380" t="str">
        <f>IF(B380="","",IFERROR(VLOOKUP(B380,csvratings!$A:$R,18,FALSE),"Not Found"))</f>
        <v/>
      </c>
      <c r="F380" t="str">
        <f>IF(C380="","",IFERROR(VLOOKUP(C380,csvratings!$A:$R,18,FALSE),"Not Found"))</f>
        <v/>
      </c>
      <c r="G380" t="str">
        <f>IF(D380="","",IFERROR(VLOOKUP(D380,csvratings!$A:$R,18,FALSE),"Not Found"))</f>
        <v/>
      </c>
      <c r="H380" s="4" t="str">
        <f t="shared" ca="1" si="6"/>
        <v/>
      </c>
    </row>
    <row r="381" spans="5:8">
      <c r="E381" t="str">
        <f>IF(B381="","",IFERROR(VLOOKUP(B381,csvratings!$A:$R,18,FALSE),"Not Found"))</f>
        <v/>
      </c>
      <c r="F381" t="str">
        <f>IF(C381="","",IFERROR(VLOOKUP(C381,csvratings!$A:$R,18,FALSE),"Not Found"))</f>
        <v/>
      </c>
      <c r="G381" t="str">
        <f>IF(D381="","",IFERROR(VLOOKUP(D381,csvratings!$A:$R,18,FALSE),"Not Found"))</f>
        <v/>
      </c>
      <c r="H381" s="4" t="str">
        <f t="shared" ca="1" si="6"/>
        <v/>
      </c>
    </row>
    <row r="382" spans="5:8">
      <c r="E382" t="str">
        <f>IF(B382="","",IFERROR(VLOOKUP(B382,csvratings!$A:$R,18,FALSE),"Not Found"))</f>
        <v/>
      </c>
      <c r="F382" t="str">
        <f>IF(C382="","",IFERROR(VLOOKUP(C382,csvratings!$A:$R,18,FALSE),"Not Found"))</f>
        <v/>
      </c>
      <c r="G382" t="str">
        <f>IF(D382="","",IFERROR(VLOOKUP(D382,csvratings!$A:$R,18,FALSE),"Not Found"))</f>
        <v/>
      </c>
      <c r="H382" s="4" t="str">
        <f t="shared" ca="1" si="6"/>
        <v/>
      </c>
    </row>
    <row r="383" spans="5:8">
      <c r="E383" t="str">
        <f>IF(B383="","",IFERROR(VLOOKUP(B383,csvratings!$A:$R,18,FALSE),"Not Found"))</f>
        <v/>
      </c>
      <c r="F383" t="str">
        <f>IF(C383="","",IFERROR(VLOOKUP(C383,csvratings!$A:$R,18,FALSE),"Not Found"))</f>
        <v/>
      </c>
      <c r="G383" t="str">
        <f>IF(D383="","",IFERROR(VLOOKUP(D383,csvratings!$A:$R,18,FALSE),"Not Found"))</f>
        <v/>
      </c>
      <c r="H383" s="4" t="str">
        <f t="shared" ca="1" si="6"/>
        <v/>
      </c>
    </row>
    <row r="384" spans="5:8">
      <c r="E384" t="str">
        <f>IF(B384="","",IFERROR(VLOOKUP(B384,csvratings!$A:$R,18,FALSE),"Not Found"))</f>
        <v/>
      </c>
      <c r="F384" t="str">
        <f>IF(C384="","",IFERROR(VLOOKUP(C384,csvratings!$A:$R,18,FALSE),"Not Found"))</f>
        <v/>
      </c>
      <c r="G384" t="str">
        <f>IF(D384="","",IFERROR(VLOOKUP(D384,csvratings!$A:$R,18,FALSE),"Not Found"))</f>
        <v/>
      </c>
      <c r="H384" s="4" t="str">
        <f t="shared" ca="1" si="6"/>
        <v/>
      </c>
    </row>
    <row r="385" spans="5:8">
      <c r="E385" t="str">
        <f>IF(B385="","",IFERROR(VLOOKUP(B385,csvratings!$A:$R,18,FALSE),"Not Found"))</f>
        <v/>
      </c>
      <c r="F385" t="str">
        <f>IF(C385="","",IFERROR(VLOOKUP(C385,csvratings!$A:$R,18,FALSE),"Not Found"))</f>
        <v/>
      </c>
      <c r="G385" t="str">
        <f>IF(D385="","",IFERROR(VLOOKUP(D385,csvratings!$A:$R,18,FALSE),"Not Found"))</f>
        <v/>
      </c>
      <c r="H385" s="4" t="str">
        <f t="shared" ca="1" si="6"/>
        <v/>
      </c>
    </row>
    <row r="386" spans="5:8">
      <c r="E386" t="str">
        <f>IF(B386="","",IFERROR(VLOOKUP(B386,csvratings!$A:$R,18,FALSE),"Not Found"))</f>
        <v/>
      </c>
      <c r="F386" t="str">
        <f>IF(C386="","",IFERROR(VLOOKUP(C386,csvratings!$A:$R,18,FALSE),"Not Found"))</f>
        <v/>
      </c>
      <c r="G386" t="str">
        <f>IF(D386="","",IFERROR(VLOOKUP(D386,csvratings!$A:$R,18,FALSE),"Not Found"))</f>
        <v/>
      </c>
      <c r="H386" s="4" t="str">
        <f t="shared" ca="1" si="6"/>
        <v/>
      </c>
    </row>
    <row r="387" spans="5:8">
      <c r="E387" t="str">
        <f>IF(B387="","",IFERROR(VLOOKUP(B387,csvratings!$A:$R,18,FALSE),"Not Found"))</f>
        <v/>
      </c>
      <c r="F387" t="str">
        <f>IF(C387="","",IFERROR(VLOOKUP(C387,csvratings!$A:$R,18,FALSE),"Not Found"))</f>
        <v/>
      </c>
      <c r="G387" t="str">
        <f>IF(D387="","",IFERROR(VLOOKUP(D387,csvratings!$A:$R,18,FALSE),"Not Found"))</f>
        <v/>
      </c>
      <c r="H387" s="4" t="str">
        <f t="shared" ref="H387:H450" ca="1" si="7">IF(AND(B387&lt;&gt;"",C387&lt;&gt;"",D387&lt;&gt;""),TODAY(),"")</f>
        <v/>
      </c>
    </row>
    <row r="388" spans="5:8">
      <c r="E388" t="str">
        <f>IF(B388="","",IFERROR(VLOOKUP(B388,csvratings!$A:$R,18,FALSE),"Not Found"))</f>
        <v/>
      </c>
      <c r="F388" t="str">
        <f>IF(C388="","",IFERROR(VLOOKUP(C388,csvratings!$A:$R,18,FALSE),"Not Found"))</f>
        <v/>
      </c>
      <c r="G388" t="str">
        <f>IF(D388="","",IFERROR(VLOOKUP(D388,csvratings!$A:$R,18,FALSE),"Not Found"))</f>
        <v/>
      </c>
      <c r="H388" s="4" t="str">
        <f t="shared" ca="1" si="7"/>
        <v/>
      </c>
    </row>
    <row r="389" spans="5:8">
      <c r="E389" t="str">
        <f>IF(B389="","",IFERROR(VLOOKUP(B389,csvratings!$A:$R,18,FALSE),"Not Found"))</f>
        <v/>
      </c>
      <c r="F389" t="str">
        <f>IF(C389="","",IFERROR(VLOOKUP(C389,csvratings!$A:$R,18,FALSE),"Not Found"))</f>
        <v/>
      </c>
      <c r="G389" t="str">
        <f>IF(D389="","",IFERROR(VLOOKUP(D389,csvratings!$A:$R,18,FALSE),"Not Found"))</f>
        <v/>
      </c>
      <c r="H389" s="4" t="str">
        <f t="shared" ca="1" si="7"/>
        <v/>
      </c>
    </row>
    <row r="390" spans="5:8">
      <c r="E390" t="str">
        <f>IF(B390="","",IFERROR(VLOOKUP(B390,csvratings!$A:$R,18,FALSE),"Not Found"))</f>
        <v/>
      </c>
      <c r="F390" t="str">
        <f>IF(C390="","",IFERROR(VLOOKUP(C390,csvratings!$A:$R,18,FALSE),"Not Found"))</f>
        <v/>
      </c>
      <c r="G390" t="str">
        <f>IF(D390="","",IFERROR(VLOOKUP(D390,csvratings!$A:$R,18,FALSE),"Not Found"))</f>
        <v/>
      </c>
      <c r="H390" s="4" t="str">
        <f t="shared" ca="1" si="7"/>
        <v/>
      </c>
    </row>
    <row r="391" spans="5:8">
      <c r="E391" t="str">
        <f>IF(B391="","",IFERROR(VLOOKUP(B391,csvratings!$A:$R,18,FALSE),"Not Found"))</f>
        <v/>
      </c>
      <c r="F391" t="str">
        <f>IF(C391="","",IFERROR(VLOOKUP(C391,csvratings!$A:$R,18,FALSE),"Not Found"))</f>
        <v/>
      </c>
      <c r="G391" t="str">
        <f>IF(D391="","",IFERROR(VLOOKUP(D391,csvratings!$A:$R,18,FALSE),"Not Found"))</f>
        <v/>
      </c>
      <c r="H391" s="4" t="str">
        <f t="shared" ca="1" si="7"/>
        <v/>
      </c>
    </row>
    <row r="392" spans="5:8">
      <c r="E392" t="str">
        <f>IF(B392="","",IFERROR(VLOOKUP(B392,csvratings!$A:$R,18,FALSE),"Not Found"))</f>
        <v/>
      </c>
      <c r="F392" t="str">
        <f>IF(C392="","",IFERROR(VLOOKUP(C392,csvratings!$A:$R,18,FALSE),"Not Found"))</f>
        <v/>
      </c>
      <c r="G392" t="str">
        <f>IF(D392="","",IFERROR(VLOOKUP(D392,csvratings!$A:$R,18,FALSE),"Not Found"))</f>
        <v/>
      </c>
      <c r="H392" s="4" t="str">
        <f t="shared" ca="1" si="7"/>
        <v/>
      </c>
    </row>
    <row r="393" spans="5:8">
      <c r="E393" t="str">
        <f>IF(B393="","",IFERROR(VLOOKUP(B393,csvratings!$A:$R,18,FALSE),"Not Found"))</f>
        <v/>
      </c>
      <c r="F393" t="str">
        <f>IF(C393="","",IFERROR(VLOOKUP(C393,csvratings!$A:$R,18,FALSE),"Not Found"))</f>
        <v/>
      </c>
      <c r="G393" t="str">
        <f>IF(D393="","",IFERROR(VLOOKUP(D393,csvratings!$A:$R,18,FALSE),"Not Found"))</f>
        <v/>
      </c>
      <c r="H393" s="4" t="str">
        <f t="shared" ca="1" si="7"/>
        <v/>
      </c>
    </row>
    <row r="394" spans="5:8">
      <c r="E394" t="str">
        <f>IF(B394="","",IFERROR(VLOOKUP(B394,csvratings!$A:$R,18,FALSE),"Not Found"))</f>
        <v/>
      </c>
      <c r="F394" t="str">
        <f>IF(C394="","",IFERROR(VLOOKUP(C394,csvratings!$A:$R,18,FALSE),"Not Found"))</f>
        <v/>
      </c>
      <c r="G394" t="str">
        <f>IF(D394="","",IFERROR(VLOOKUP(D394,csvratings!$A:$R,18,FALSE),"Not Found"))</f>
        <v/>
      </c>
      <c r="H394" s="4" t="str">
        <f t="shared" ca="1" si="7"/>
        <v/>
      </c>
    </row>
    <row r="395" spans="5:8">
      <c r="E395" t="str">
        <f>IF(B395="","",IFERROR(VLOOKUP(B395,csvratings!$A:$R,18,FALSE),"Not Found"))</f>
        <v/>
      </c>
      <c r="F395" t="str">
        <f>IF(C395="","",IFERROR(VLOOKUP(C395,csvratings!$A:$R,18,FALSE),"Not Found"))</f>
        <v/>
      </c>
      <c r="G395" t="str">
        <f>IF(D395="","",IFERROR(VLOOKUP(D395,csvratings!$A:$R,18,FALSE),"Not Found"))</f>
        <v/>
      </c>
      <c r="H395" s="4" t="str">
        <f t="shared" ca="1" si="7"/>
        <v/>
      </c>
    </row>
    <row r="396" spans="5:8">
      <c r="E396" t="str">
        <f>IF(B396="","",IFERROR(VLOOKUP(B396,csvratings!$A:$R,18,FALSE),"Not Found"))</f>
        <v/>
      </c>
      <c r="F396" t="str">
        <f>IF(C396="","",IFERROR(VLOOKUP(C396,csvratings!$A:$R,18,FALSE),"Not Found"))</f>
        <v/>
      </c>
      <c r="G396" t="str">
        <f>IF(D396="","",IFERROR(VLOOKUP(D396,csvratings!$A:$R,18,FALSE),"Not Found"))</f>
        <v/>
      </c>
      <c r="H396" s="4" t="str">
        <f t="shared" ca="1" si="7"/>
        <v/>
      </c>
    </row>
    <row r="397" spans="5:8">
      <c r="E397" t="str">
        <f>IF(B397="","",IFERROR(VLOOKUP(B397,csvratings!$A:$R,18,FALSE),"Not Found"))</f>
        <v/>
      </c>
      <c r="F397" t="str">
        <f>IF(C397="","",IFERROR(VLOOKUP(C397,csvratings!$A:$R,18,FALSE),"Not Found"))</f>
        <v/>
      </c>
      <c r="G397" t="str">
        <f>IF(D397="","",IFERROR(VLOOKUP(D397,csvratings!$A:$R,18,FALSE),"Not Found"))</f>
        <v/>
      </c>
      <c r="H397" s="4" t="str">
        <f t="shared" ca="1" si="7"/>
        <v/>
      </c>
    </row>
    <row r="398" spans="5:8">
      <c r="E398" t="str">
        <f>IF(B398="","",IFERROR(VLOOKUP(B398,csvratings!$A:$R,18,FALSE),"Not Found"))</f>
        <v/>
      </c>
      <c r="F398" t="str">
        <f>IF(C398="","",IFERROR(VLOOKUP(C398,csvratings!$A:$R,18,FALSE),"Not Found"))</f>
        <v/>
      </c>
      <c r="G398" t="str">
        <f>IF(D398="","",IFERROR(VLOOKUP(D398,csvratings!$A:$R,18,FALSE),"Not Found"))</f>
        <v/>
      </c>
      <c r="H398" s="4" t="str">
        <f t="shared" ca="1" si="7"/>
        <v/>
      </c>
    </row>
    <row r="399" spans="5:8">
      <c r="E399" t="str">
        <f>IF(B399="","",IFERROR(VLOOKUP(B399,csvratings!$A:$R,18,FALSE),"Not Found"))</f>
        <v/>
      </c>
      <c r="F399" t="str">
        <f>IF(C399="","",IFERROR(VLOOKUP(C399,csvratings!$A:$R,18,FALSE),"Not Found"))</f>
        <v/>
      </c>
      <c r="G399" t="str">
        <f>IF(D399="","",IFERROR(VLOOKUP(D399,csvratings!$A:$R,18,FALSE),"Not Found"))</f>
        <v/>
      </c>
      <c r="H399" s="4" t="str">
        <f t="shared" ca="1" si="7"/>
        <v/>
      </c>
    </row>
    <row r="400" spans="5:8">
      <c r="E400" t="str">
        <f>IF(B400="","",IFERROR(VLOOKUP(B400,csvratings!$A:$R,18,FALSE),"Not Found"))</f>
        <v/>
      </c>
      <c r="F400" t="str">
        <f>IF(C400="","",IFERROR(VLOOKUP(C400,csvratings!$A:$R,18,FALSE),"Not Found"))</f>
        <v/>
      </c>
      <c r="G400" t="str">
        <f>IF(D400="","",IFERROR(VLOOKUP(D400,csvratings!$A:$R,18,FALSE),"Not Found"))</f>
        <v/>
      </c>
      <c r="H400" s="4" t="str">
        <f t="shared" ca="1" si="7"/>
        <v/>
      </c>
    </row>
    <row r="401" spans="5:8">
      <c r="E401" t="str">
        <f>IF(B401="","",IFERROR(VLOOKUP(B401,csvratings!$A:$R,18,FALSE),"Not Found"))</f>
        <v/>
      </c>
      <c r="F401" t="str">
        <f>IF(C401="","",IFERROR(VLOOKUP(C401,csvratings!$A:$R,18,FALSE),"Not Found"))</f>
        <v/>
      </c>
      <c r="G401" t="str">
        <f>IF(D401="","",IFERROR(VLOOKUP(D401,csvratings!$A:$R,18,FALSE),"Not Found"))</f>
        <v/>
      </c>
      <c r="H401" s="4" t="str">
        <f t="shared" ca="1" si="7"/>
        <v/>
      </c>
    </row>
    <row r="402" spans="5:8">
      <c r="E402" t="str">
        <f>IF(B402="","",IFERROR(VLOOKUP(B402,csvratings!$A:$R,18,FALSE),"Not Found"))</f>
        <v/>
      </c>
      <c r="F402" t="str">
        <f>IF(C402="","",IFERROR(VLOOKUP(C402,csvratings!$A:$R,18,FALSE),"Not Found"))</f>
        <v/>
      </c>
      <c r="G402" t="str">
        <f>IF(D402="","",IFERROR(VLOOKUP(D402,csvratings!$A:$R,18,FALSE),"Not Found"))</f>
        <v/>
      </c>
      <c r="H402" s="4" t="str">
        <f t="shared" ca="1" si="7"/>
        <v/>
      </c>
    </row>
    <row r="403" spans="5:8">
      <c r="E403" t="str">
        <f>IF(B403="","",IFERROR(VLOOKUP(B403,csvratings!$A:$R,18,FALSE),"Not Found"))</f>
        <v/>
      </c>
      <c r="F403" t="str">
        <f>IF(C403="","",IFERROR(VLOOKUP(C403,csvratings!$A:$R,18,FALSE),"Not Found"))</f>
        <v/>
      </c>
      <c r="G403" t="str">
        <f>IF(D403="","",IFERROR(VLOOKUP(D403,csvratings!$A:$R,18,FALSE),"Not Found"))</f>
        <v/>
      </c>
      <c r="H403" s="4" t="str">
        <f t="shared" ca="1" si="7"/>
        <v/>
      </c>
    </row>
    <row r="404" spans="5:8">
      <c r="E404" t="str">
        <f>IF(B404="","",IFERROR(VLOOKUP(B404,csvratings!$A:$R,18,FALSE),"Not Found"))</f>
        <v/>
      </c>
      <c r="F404" t="str">
        <f>IF(C404="","",IFERROR(VLOOKUP(C404,csvratings!$A:$R,18,FALSE),"Not Found"))</f>
        <v/>
      </c>
      <c r="G404" t="str">
        <f>IF(D404="","",IFERROR(VLOOKUP(D404,csvratings!$A:$R,18,FALSE),"Not Found"))</f>
        <v/>
      </c>
      <c r="H404" s="4" t="str">
        <f t="shared" ca="1" si="7"/>
        <v/>
      </c>
    </row>
    <row r="405" spans="5:8">
      <c r="E405" t="str">
        <f>IF(B405="","",IFERROR(VLOOKUP(B405,csvratings!$A:$R,18,FALSE),"Not Found"))</f>
        <v/>
      </c>
      <c r="F405" t="str">
        <f>IF(C405="","",IFERROR(VLOOKUP(C405,csvratings!$A:$R,18,FALSE),"Not Found"))</f>
        <v/>
      </c>
      <c r="G405" t="str">
        <f>IF(D405="","",IFERROR(VLOOKUP(D405,csvratings!$A:$R,18,FALSE),"Not Found"))</f>
        <v/>
      </c>
      <c r="H405" s="4" t="str">
        <f t="shared" ca="1" si="7"/>
        <v/>
      </c>
    </row>
    <row r="406" spans="5:8">
      <c r="E406" t="str">
        <f>IF(B406="","",IFERROR(VLOOKUP(B406,csvratings!$A:$R,18,FALSE),"Not Found"))</f>
        <v/>
      </c>
      <c r="F406" t="str">
        <f>IF(C406="","",IFERROR(VLOOKUP(C406,csvratings!$A:$R,18,FALSE),"Not Found"))</f>
        <v/>
      </c>
      <c r="G406" t="str">
        <f>IF(D406="","",IFERROR(VLOOKUP(D406,csvratings!$A:$R,18,FALSE),"Not Found"))</f>
        <v/>
      </c>
      <c r="H406" s="4" t="str">
        <f t="shared" ca="1" si="7"/>
        <v/>
      </c>
    </row>
    <row r="407" spans="5:8">
      <c r="E407" t="str">
        <f>IF(B407="","",IFERROR(VLOOKUP(B407,csvratings!$A:$R,18,FALSE),"Not Found"))</f>
        <v/>
      </c>
      <c r="F407" t="str">
        <f>IF(C407="","",IFERROR(VLOOKUP(C407,csvratings!$A:$R,18,FALSE),"Not Found"))</f>
        <v/>
      </c>
      <c r="G407" t="str">
        <f>IF(D407="","",IFERROR(VLOOKUP(D407,csvratings!$A:$R,18,FALSE),"Not Found"))</f>
        <v/>
      </c>
      <c r="H407" s="4" t="str">
        <f t="shared" ca="1" si="7"/>
        <v/>
      </c>
    </row>
    <row r="408" spans="5:8">
      <c r="E408" t="str">
        <f>IF(B408="","",IFERROR(VLOOKUP(B408,csvratings!$A:$R,18,FALSE),"Not Found"))</f>
        <v/>
      </c>
      <c r="F408" t="str">
        <f>IF(C408="","",IFERROR(VLOOKUP(C408,csvratings!$A:$R,18,FALSE),"Not Found"))</f>
        <v/>
      </c>
      <c r="G408" t="str">
        <f>IF(D408="","",IFERROR(VLOOKUP(D408,csvratings!$A:$R,18,FALSE),"Not Found"))</f>
        <v/>
      </c>
      <c r="H408" s="4" t="str">
        <f t="shared" ca="1" si="7"/>
        <v/>
      </c>
    </row>
    <row r="409" spans="5:8">
      <c r="E409" t="str">
        <f>IF(B409="","",IFERROR(VLOOKUP(B409,csvratings!$A:$R,18,FALSE),"Not Found"))</f>
        <v/>
      </c>
      <c r="F409" t="str">
        <f>IF(C409="","",IFERROR(VLOOKUP(C409,csvratings!$A:$R,18,FALSE),"Not Found"))</f>
        <v/>
      </c>
      <c r="G409" t="str">
        <f>IF(D409="","",IFERROR(VLOOKUP(D409,csvratings!$A:$R,18,FALSE),"Not Found"))</f>
        <v/>
      </c>
      <c r="H409" s="4" t="str">
        <f t="shared" ca="1" si="7"/>
        <v/>
      </c>
    </row>
    <row r="410" spans="5:8">
      <c r="E410" t="str">
        <f>IF(B410="","",IFERROR(VLOOKUP(B410,csvratings!$A:$R,18,FALSE),"Not Found"))</f>
        <v/>
      </c>
      <c r="F410" t="str">
        <f>IF(C410="","",IFERROR(VLOOKUP(C410,csvratings!$A:$R,18,FALSE),"Not Found"))</f>
        <v/>
      </c>
      <c r="G410" t="str">
        <f>IF(D410="","",IFERROR(VLOOKUP(D410,csvratings!$A:$R,18,FALSE),"Not Found"))</f>
        <v/>
      </c>
      <c r="H410" s="4" t="str">
        <f t="shared" ca="1" si="7"/>
        <v/>
      </c>
    </row>
    <row r="411" spans="5:8">
      <c r="E411" t="str">
        <f>IF(B411="","",IFERROR(VLOOKUP(B411,csvratings!$A:$R,18,FALSE),"Not Found"))</f>
        <v/>
      </c>
      <c r="F411" t="str">
        <f>IF(C411="","",IFERROR(VLOOKUP(C411,csvratings!$A:$R,18,FALSE),"Not Found"))</f>
        <v/>
      </c>
      <c r="G411" t="str">
        <f>IF(D411="","",IFERROR(VLOOKUP(D411,csvratings!$A:$R,18,FALSE),"Not Found"))</f>
        <v/>
      </c>
      <c r="H411" s="4" t="str">
        <f t="shared" ca="1" si="7"/>
        <v/>
      </c>
    </row>
    <row r="412" spans="5:8">
      <c r="E412" t="str">
        <f>IF(B412="","",IFERROR(VLOOKUP(B412,csvratings!$A:$R,18,FALSE),"Not Found"))</f>
        <v/>
      </c>
      <c r="F412" t="str">
        <f>IF(C412="","",IFERROR(VLOOKUP(C412,csvratings!$A:$R,18,FALSE),"Not Found"))</f>
        <v/>
      </c>
      <c r="G412" t="str">
        <f>IF(D412="","",IFERROR(VLOOKUP(D412,csvratings!$A:$R,18,FALSE),"Not Found"))</f>
        <v/>
      </c>
      <c r="H412" s="4" t="str">
        <f t="shared" ca="1" si="7"/>
        <v/>
      </c>
    </row>
    <row r="413" spans="5:8">
      <c r="E413" t="str">
        <f>IF(B413="","",IFERROR(VLOOKUP(B413,csvratings!$A:$R,18,FALSE),"Not Found"))</f>
        <v/>
      </c>
      <c r="F413" t="str">
        <f>IF(C413="","",IFERROR(VLOOKUP(C413,csvratings!$A:$R,18,FALSE),"Not Found"))</f>
        <v/>
      </c>
      <c r="G413" t="str">
        <f>IF(D413="","",IFERROR(VLOOKUP(D413,csvratings!$A:$R,18,FALSE),"Not Found"))</f>
        <v/>
      </c>
      <c r="H413" s="4" t="str">
        <f t="shared" ca="1" si="7"/>
        <v/>
      </c>
    </row>
    <row r="414" spans="5:8">
      <c r="E414" t="str">
        <f>IF(B414="","",IFERROR(VLOOKUP(B414,csvratings!$A:$R,18,FALSE),"Not Found"))</f>
        <v/>
      </c>
      <c r="F414" t="str">
        <f>IF(C414="","",IFERROR(VLOOKUP(C414,csvratings!$A:$R,18,FALSE),"Not Found"))</f>
        <v/>
      </c>
      <c r="G414" t="str">
        <f>IF(D414="","",IFERROR(VLOOKUP(D414,csvratings!$A:$R,18,FALSE),"Not Found"))</f>
        <v/>
      </c>
      <c r="H414" s="4" t="str">
        <f t="shared" ca="1" si="7"/>
        <v/>
      </c>
    </row>
    <row r="415" spans="5:8">
      <c r="E415" t="str">
        <f>IF(B415="","",IFERROR(VLOOKUP(B415,csvratings!$A:$R,18,FALSE),"Not Found"))</f>
        <v/>
      </c>
      <c r="F415" t="str">
        <f>IF(C415="","",IFERROR(VLOOKUP(C415,csvratings!$A:$R,18,FALSE),"Not Found"))</f>
        <v/>
      </c>
      <c r="G415" t="str">
        <f>IF(D415="","",IFERROR(VLOOKUP(D415,csvratings!$A:$R,18,FALSE),"Not Found"))</f>
        <v/>
      </c>
      <c r="H415" s="4" t="str">
        <f t="shared" ca="1" si="7"/>
        <v/>
      </c>
    </row>
    <row r="416" spans="5:8">
      <c r="E416" t="str">
        <f>IF(B416="","",IFERROR(VLOOKUP(B416,csvratings!$A:$R,18,FALSE),"Not Found"))</f>
        <v/>
      </c>
      <c r="F416" t="str">
        <f>IF(C416="","",IFERROR(VLOOKUP(C416,csvratings!$A:$R,18,FALSE),"Not Found"))</f>
        <v/>
      </c>
      <c r="G416" t="str">
        <f>IF(D416="","",IFERROR(VLOOKUP(D416,csvratings!$A:$R,18,FALSE),"Not Found"))</f>
        <v/>
      </c>
      <c r="H416" s="4" t="str">
        <f t="shared" ca="1" si="7"/>
        <v/>
      </c>
    </row>
    <row r="417" spans="5:8">
      <c r="E417" t="str">
        <f>IF(B417="","",IFERROR(VLOOKUP(B417,csvratings!$A:$R,18,FALSE),"Not Found"))</f>
        <v/>
      </c>
      <c r="F417" t="str">
        <f>IF(C417="","",IFERROR(VLOOKUP(C417,csvratings!$A:$R,18,FALSE),"Not Found"))</f>
        <v/>
      </c>
      <c r="G417" t="str">
        <f>IF(D417="","",IFERROR(VLOOKUP(D417,csvratings!$A:$R,18,FALSE),"Not Found"))</f>
        <v/>
      </c>
      <c r="H417" s="4" t="str">
        <f t="shared" ca="1" si="7"/>
        <v/>
      </c>
    </row>
    <row r="418" spans="5:8">
      <c r="E418" t="str">
        <f>IF(B418="","",IFERROR(VLOOKUP(B418,csvratings!$A:$R,18,FALSE),"Not Found"))</f>
        <v/>
      </c>
      <c r="F418" t="str">
        <f>IF(C418="","",IFERROR(VLOOKUP(C418,csvratings!$A:$R,18,FALSE),"Not Found"))</f>
        <v/>
      </c>
      <c r="G418" t="str">
        <f>IF(D418="","",IFERROR(VLOOKUP(D418,csvratings!$A:$R,18,FALSE),"Not Found"))</f>
        <v/>
      </c>
      <c r="H418" s="4" t="str">
        <f t="shared" ca="1" si="7"/>
        <v/>
      </c>
    </row>
    <row r="419" spans="5:8">
      <c r="E419" t="str">
        <f>IF(B419="","",IFERROR(VLOOKUP(B419,csvratings!$A:$R,18,FALSE),"Not Found"))</f>
        <v/>
      </c>
      <c r="F419" t="str">
        <f>IF(C419="","",IFERROR(VLOOKUP(C419,csvratings!$A:$R,18,FALSE),"Not Found"))</f>
        <v/>
      </c>
      <c r="G419" t="str">
        <f>IF(D419="","",IFERROR(VLOOKUP(D419,csvratings!$A:$R,18,FALSE),"Not Found"))</f>
        <v/>
      </c>
      <c r="H419" s="4" t="str">
        <f t="shared" ca="1" si="7"/>
        <v/>
      </c>
    </row>
    <row r="420" spans="5:8">
      <c r="E420" t="str">
        <f>IF(B420="","",IFERROR(VLOOKUP(B420,csvratings!$A:$R,18,FALSE),"Not Found"))</f>
        <v/>
      </c>
      <c r="F420" t="str">
        <f>IF(C420="","",IFERROR(VLOOKUP(C420,csvratings!$A:$R,18,FALSE),"Not Found"))</f>
        <v/>
      </c>
      <c r="G420" t="str">
        <f>IF(D420="","",IFERROR(VLOOKUP(D420,csvratings!$A:$R,18,FALSE),"Not Found"))</f>
        <v/>
      </c>
      <c r="H420" s="4" t="str">
        <f t="shared" ca="1" si="7"/>
        <v/>
      </c>
    </row>
    <row r="421" spans="5:8">
      <c r="E421" t="str">
        <f>IF(B421="","",IFERROR(VLOOKUP(B421,csvratings!$A:$R,18,FALSE),"Not Found"))</f>
        <v/>
      </c>
      <c r="F421" t="str">
        <f>IF(C421="","",IFERROR(VLOOKUP(C421,csvratings!$A:$R,18,FALSE),"Not Found"))</f>
        <v/>
      </c>
      <c r="G421" t="str">
        <f>IF(D421="","",IFERROR(VLOOKUP(D421,csvratings!$A:$R,18,FALSE),"Not Found"))</f>
        <v/>
      </c>
      <c r="H421" s="4" t="str">
        <f t="shared" ca="1" si="7"/>
        <v/>
      </c>
    </row>
    <row r="422" spans="5:8">
      <c r="E422" t="str">
        <f>IF(B422="","",IFERROR(VLOOKUP(B422,csvratings!$A:$R,18,FALSE),"Not Found"))</f>
        <v/>
      </c>
      <c r="F422" t="str">
        <f>IF(C422="","",IFERROR(VLOOKUP(C422,csvratings!$A:$R,18,FALSE),"Not Found"))</f>
        <v/>
      </c>
      <c r="G422" t="str">
        <f>IF(D422="","",IFERROR(VLOOKUP(D422,csvratings!$A:$R,18,FALSE),"Not Found"))</f>
        <v/>
      </c>
      <c r="H422" s="4" t="str">
        <f t="shared" ca="1" si="7"/>
        <v/>
      </c>
    </row>
    <row r="423" spans="5:8">
      <c r="E423" t="str">
        <f>IF(B423="","",IFERROR(VLOOKUP(B423,csvratings!$A:$R,18,FALSE),"Not Found"))</f>
        <v/>
      </c>
      <c r="F423" t="str">
        <f>IF(C423="","",IFERROR(VLOOKUP(C423,csvratings!$A:$R,18,FALSE),"Not Found"))</f>
        <v/>
      </c>
      <c r="G423" t="str">
        <f>IF(D423="","",IFERROR(VLOOKUP(D423,csvratings!$A:$R,18,FALSE),"Not Found"))</f>
        <v/>
      </c>
      <c r="H423" s="4" t="str">
        <f t="shared" ca="1" si="7"/>
        <v/>
      </c>
    </row>
    <row r="424" spans="5:8">
      <c r="E424" t="str">
        <f>IF(B424="","",IFERROR(VLOOKUP(B424,csvratings!$A:$R,18,FALSE),"Not Found"))</f>
        <v/>
      </c>
      <c r="F424" t="str">
        <f>IF(C424="","",IFERROR(VLOOKUP(C424,csvratings!$A:$R,18,FALSE),"Not Found"))</f>
        <v/>
      </c>
      <c r="G424" t="str">
        <f>IF(D424="","",IFERROR(VLOOKUP(D424,csvratings!$A:$R,18,FALSE),"Not Found"))</f>
        <v/>
      </c>
      <c r="H424" s="4" t="str">
        <f t="shared" ca="1" si="7"/>
        <v/>
      </c>
    </row>
    <row r="425" spans="5:8">
      <c r="E425" t="str">
        <f>IF(B425="","",IFERROR(VLOOKUP(B425,csvratings!$A:$R,18,FALSE),"Not Found"))</f>
        <v/>
      </c>
      <c r="F425" t="str">
        <f>IF(C425="","",IFERROR(VLOOKUP(C425,csvratings!$A:$R,18,FALSE),"Not Found"))</f>
        <v/>
      </c>
      <c r="G425" t="str">
        <f>IF(D425="","",IFERROR(VLOOKUP(D425,csvratings!$A:$R,18,FALSE),"Not Found"))</f>
        <v/>
      </c>
      <c r="H425" s="4" t="str">
        <f t="shared" ca="1" si="7"/>
        <v/>
      </c>
    </row>
    <row r="426" spans="5:8">
      <c r="E426" t="str">
        <f>IF(B426="","",IFERROR(VLOOKUP(B426,csvratings!$A:$R,18,FALSE),"Not Found"))</f>
        <v/>
      </c>
      <c r="F426" t="str">
        <f>IF(C426="","",IFERROR(VLOOKUP(C426,csvratings!$A:$R,18,FALSE),"Not Found"))</f>
        <v/>
      </c>
      <c r="G426" t="str">
        <f>IF(D426="","",IFERROR(VLOOKUP(D426,csvratings!$A:$R,18,FALSE),"Not Found"))</f>
        <v/>
      </c>
      <c r="H426" s="4" t="str">
        <f t="shared" ca="1" si="7"/>
        <v/>
      </c>
    </row>
    <row r="427" spans="5:8">
      <c r="E427" t="str">
        <f>IF(B427="","",IFERROR(VLOOKUP(B427,csvratings!$A:$R,18,FALSE),"Not Found"))</f>
        <v/>
      </c>
      <c r="F427" t="str">
        <f>IF(C427="","",IFERROR(VLOOKUP(C427,csvratings!$A:$R,18,FALSE),"Not Found"))</f>
        <v/>
      </c>
      <c r="G427" t="str">
        <f>IF(D427="","",IFERROR(VLOOKUP(D427,csvratings!$A:$R,18,FALSE),"Not Found"))</f>
        <v/>
      </c>
      <c r="H427" s="4" t="str">
        <f t="shared" ca="1" si="7"/>
        <v/>
      </c>
    </row>
    <row r="428" spans="5:8">
      <c r="E428" t="str">
        <f>IF(B428="","",IFERROR(VLOOKUP(B428,csvratings!$A:$R,18,FALSE),"Not Found"))</f>
        <v/>
      </c>
      <c r="F428" t="str">
        <f>IF(C428="","",IFERROR(VLOOKUP(C428,csvratings!$A:$R,18,FALSE),"Not Found"))</f>
        <v/>
      </c>
      <c r="G428" t="str">
        <f>IF(D428="","",IFERROR(VLOOKUP(D428,csvratings!$A:$R,18,FALSE),"Not Found"))</f>
        <v/>
      </c>
      <c r="H428" s="4" t="str">
        <f t="shared" ca="1" si="7"/>
        <v/>
      </c>
    </row>
    <row r="429" spans="5:8">
      <c r="E429" t="str">
        <f>IF(B429="","",IFERROR(VLOOKUP(B429,csvratings!$A:$R,18,FALSE),"Not Found"))</f>
        <v/>
      </c>
      <c r="F429" t="str">
        <f>IF(C429="","",IFERROR(VLOOKUP(C429,csvratings!$A:$R,18,FALSE),"Not Found"))</f>
        <v/>
      </c>
      <c r="G429" t="str">
        <f>IF(D429="","",IFERROR(VLOOKUP(D429,csvratings!$A:$R,18,FALSE),"Not Found"))</f>
        <v/>
      </c>
      <c r="H429" s="4" t="str">
        <f t="shared" ca="1" si="7"/>
        <v/>
      </c>
    </row>
    <row r="430" spans="5:8">
      <c r="E430" t="str">
        <f>IF(B430="","",IFERROR(VLOOKUP(B430,csvratings!$A:$R,18,FALSE),"Not Found"))</f>
        <v/>
      </c>
      <c r="F430" t="str">
        <f>IF(C430="","",IFERROR(VLOOKUP(C430,csvratings!$A:$R,18,FALSE),"Not Found"))</f>
        <v/>
      </c>
      <c r="G430" t="str">
        <f>IF(D430="","",IFERROR(VLOOKUP(D430,csvratings!$A:$R,18,FALSE),"Not Found"))</f>
        <v/>
      </c>
      <c r="H430" s="4" t="str">
        <f t="shared" ca="1" si="7"/>
        <v/>
      </c>
    </row>
    <row r="431" spans="5:8">
      <c r="E431" t="str">
        <f>IF(B431="","",IFERROR(VLOOKUP(B431,csvratings!$A:$R,18,FALSE),"Not Found"))</f>
        <v/>
      </c>
      <c r="F431" t="str">
        <f>IF(C431="","",IFERROR(VLOOKUP(C431,csvratings!$A:$R,18,FALSE),"Not Found"))</f>
        <v/>
      </c>
      <c r="G431" t="str">
        <f>IF(D431="","",IFERROR(VLOOKUP(D431,csvratings!$A:$R,18,FALSE),"Not Found"))</f>
        <v/>
      </c>
      <c r="H431" s="4" t="str">
        <f t="shared" ca="1" si="7"/>
        <v/>
      </c>
    </row>
    <row r="432" spans="5:8">
      <c r="E432" t="str">
        <f>IF(B432="","",IFERROR(VLOOKUP(B432,csvratings!$A:$R,18,FALSE),"Not Found"))</f>
        <v/>
      </c>
      <c r="F432" t="str">
        <f>IF(C432="","",IFERROR(VLOOKUP(C432,csvratings!$A:$R,18,FALSE),"Not Found"))</f>
        <v/>
      </c>
      <c r="G432" t="str">
        <f>IF(D432="","",IFERROR(VLOOKUP(D432,csvratings!$A:$R,18,FALSE),"Not Found"))</f>
        <v/>
      </c>
      <c r="H432" s="4" t="str">
        <f t="shared" ca="1" si="7"/>
        <v/>
      </c>
    </row>
    <row r="433" spans="5:8">
      <c r="E433" t="str">
        <f>IF(B433="","",IFERROR(VLOOKUP(B433,csvratings!$A:$R,18,FALSE),"Not Found"))</f>
        <v/>
      </c>
      <c r="F433" t="str">
        <f>IF(C433="","",IFERROR(VLOOKUP(C433,csvratings!$A:$R,18,FALSE),"Not Found"))</f>
        <v/>
      </c>
      <c r="G433" t="str">
        <f>IF(D433="","",IFERROR(VLOOKUP(D433,csvratings!$A:$R,18,FALSE),"Not Found"))</f>
        <v/>
      </c>
      <c r="H433" s="4" t="str">
        <f t="shared" ca="1" si="7"/>
        <v/>
      </c>
    </row>
    <row r="434" spans="5:8">
      <c r="E434" t="str">
        <f>IF(B434="","",IFERROR(VLOOKUP(B434,csvratings!$A:$R,18,FALSE),"Not Found"))</f>
        <v/>
      </c>
      <c r="F434" t="str">
        <f>IF(C434="","",IFERROR(VLOOKUP(C434,csvratings!$A:$R,18,FALSE),"Not Found"))</f>
        <v/>
      </c>
      <c r="G434" t="str">
        <f>IF(D434="","",IFERROR(VLOOKUP(D434,csvratings!$A:$R,18,FALSE),"Not Found"))</f>
        <v/>
      </c>
      <c r="H434" s="4" t="str">
        <f t="shared" ca="1" si="7"/>
        <v/>
      </c>
    </row>
    <row r="435" spans="5:8">
      <c r="E435" t="str">
        <f>IF(B435="","",IFERROR(VLOOKUP(B435,csvratings!$A:$R,18,FALSE),"Not Found"))</f>
        <v/>
      </c>
      <c r="F435" t="str">
        <f>IF(C435="","",IFERROR(VLOOKUP(C435,csvratings!$A:$R,18,FALSE),"Not Found"))</f>
        <v/>
      </c>
      <c r="G435" t="str">
        <f>IF(D435="","",IFERROR(VLOOKUP(D435,csvratings!$A:$R,18,FALSE),"Not Found"))</f>
        <v/>
      </c>
      <c r="H435" s="4" t="str">
        <f t="shared" ca="1" si="7"/>
        <v/>
      </c>
    </row>
    <row r="436" spans="5:8">
      <c r="E436" t="str">
        <f>IF(B436="","",IFERROR(VLOOKUP(B436,csvratings!$A:$R,18,FALSE),"Not Found"))</f>
        <v/>
      </c>
      <c r="F436" t="str">
        <f>IF(C436="","",IFERROR(VLOOKUP(C436,csvratings!$A:$R,18,FALSE),"Not Found"))</f>
        <v/>
      </c>
      <c r="G436" t="str">
        <f>IF(D436="","",IFERROR(VLOOKUP(D436,csvratings!$A:$R,18,FALSE),"Not Found"))</f>
        <v/>
      </c>
      <c r="H436" s="4" t="str">
        <f t="shared" ca="1" si="7"/>
        <v/>
      </c>
    </row>
    <row r="437" spans="5:8">
      <c r="E437" t="str">
        <f>IF(B437="","",IFERROR(VLOOKUP(B437,csvratings!$A:$R,18,FALSE),"Not Found"))</f>
        <v/>
      </c>
      <c r="F437" t="str">
        <f>IF(C437="","",IFERROR(VLOOKUP(C437,csvratings!$A:$R,18,FALSE),"Not Found"))</f>
        <v/>
      </c>
      <c r="G437" t="str">
        <f>IF(D437="","",IFERROR(VLOOKUP(D437,csvratings!$A:$R,18,FALSE),"Not Found"))</f>
        <v/>
      </c>
      <c r="H437" s="4" t="str">
        <f t="shared" ca="1" si="7"/>
        <v/>
      </c>
    </row>
    <row r="438" spans="5:8">
      <c r="E438" t="str">
        <f>IF(B438="","",IFERROR(VLOOKUP(B438,csvratings!$A:$R,18,FALSE),"Not Found"))</f>
        <v/>
      </c>
      <c r="F438" t="str">
        <f>IF(C438="","",IFERROR(VLOOKUP(C438,csvratings!$A:$R,18,FALSE),"Not Found"))</f>
        <v/>
      </c>
      <c r="G438" t="str">
        <f>IF(D438="","",IFERROR(VLOOKUP(D438,csvratings!$A:$R,18,FALSE),"Not Found"))</f>
        <v/>
      </c>
      <c r="H438" s="4" t="str">
        <f t="shared" ca="1" si="7"/>
        <v/>
      </c>
    </row>
    <row r="439" spans="5:8">
      <c r="E439" t="str">
        <f>IF(B439="","",IFERROR(VLOOKUP(B439,csvratings!$A:$R,18,FALSE),"Not Found"))</f>
        <v/>
      </c>
      <c r="F439" t="str">
        <f>IF(C439="","",IFERROR(VLOOKUP(C439,csvratings!$A:$R,18,FALSE),"Not Found"))</f>
        <v/>
      </c>
      <c r="G439" t="str">
        <f>IF(D439="","",IFERROR(VLOOKUP(D439,csvratings!$A:$R,18,FALSE),"Not Found"))</f>
        <v/>
      </c>
      <c r="H439" s="4" t="str">
        <f t="shared" ca="1" si="7"/>
        <v/>
      </c>
    </row>
    <row r="440" spans="5:8">
      <c r="E440" t="str">
        <f>IF(B440="","",IFERROR(VLOOKUP(B440,csvratings!$A:$R,18,FALSE),"Not Found"))</f>
        <v/>
      </c>
      <c r="F440" t="str">
        <f>IF(C440="","",IFERROR(VLOOKUP(C440,csvratings!$A:$R,18,FALSE),"Not Found"))</f>
        <v/>
      </c>
      <c r="G440" t="str">
        <f>IF(D440="","",IFERROR(VLOOKUP(D440,csvratings!$A:$R,18,FALSE),"Not Found"))</f>
        <v/>
      </c>
      <c r="H440" s="4" t="str">
        <f t="shared" ca="1" si="7"/>
        <v/>
      </c>
    </row>
    <row r="441" spans="5:8">
      <c r="E441" t="str">
        <f>IF(B441="","",IFERROR(VLOOKUP(B441,csvratings!$A:$R,18,FALSE),"Not Found"))</f>
        <v/>
      </c>
      <c r="F441" t="str">
        <f>IF(C441="","",IFERROR(VLOOKUP(C441,csvratings!$A:$R,18,FALSE),"Not Found"))</f>
        <v/>
      </c>
      <c r="G441" t="str">
        <f>IF(D441="","",IFERROR(VLOOKUP(D441,csvratings!$A:$R,18,FALSE),"Not Found"))</f>
        <v/>
      </c>
      <c r="H441" s="4" t="str">
        <f t="shared" ca="1" si="7"/>
        <v/>
      </c>
    </row>
    <row r="442" spans="5:8">
      <c r="E442" t="str">
        <f>IF(B442="","",IFERROR(VLOOKUP(B442,csvratings!$A:$R,18,FALSE),"Not Found"))</f>
        <v/>
      </c>
      <c r="F442" t="str">
        <f>IF(C442="","",IFERROR(VLOOKUP(C442,csvratings!$A:$R,18,FALSE),"Not Found"))</f>
        <v/>
      </c>
      <c r="G442" t="str">
        <f>IF(D442="","",IFERROR(VLOOKUP(D442,csvratings!$A:$R,18,FALSE),"Not Found"))</f>
        <v/>
      </c>
      <c r="H442" s="4" t="str">
        <f t="shared" ca="1" si="7"/>
        <v/>
      </c>
    </row>
    <row r="443" spans="5:8">
      <c r="E443" t="str">
        <f>IF(B443="","",IFERROR(VLOOKUP(B443,csvratings!$A:$R,18,FALSE),"Not Found"))</f>
        <v/>
      </c>
      <c r="F443" t="str">
        <f>IF(C443="","",IFERROR(VLOOKUP(C443,csvratings!$A:$R,18,FALSE),"Not Found"))</f>
        <v/>
      </c>
      <c r="G443" t="str">
        <f>IF(D443="","",IFERROR(VLOOKUP(D443,csvratings!$A:$R,18,FALSE),"Not Found"))</f>
        <v/>
      </c>
      <c r="H443" s="4" t="str">
        <f t="shared" ca="1" si="7"/>
        <v/>
      </c>
    </row>
    <row r="444" spans="5:8">
      <c r="E444" t="str">
        <f>IF(B444="","",IFERROR(VLOOKUP(B444,csvratings!$A:$R,18,FALSE),"Not Found"))</f>
        <v/>
      </c>
      <c r="F444" t="str">
        <f>IF(C444="","",IFERROR(VLOOKUP(C444,csvratings!$A:$R,18,FALSE),"Not Found"))</f>
        <v/>
      </c>
      <c r="G444" t="str">
        <f>IF(D444="","",IFERROR(VLOOKUP(D444,csvratings!$A:$R,18,FALSE),"Not Found"))</f>
        <v/>
      </c>
      <c r="H444" s="4" t="str">
        <f t="shared" ca="1" si="7"/>
        <v/>
      </c>
    </row>
    <row r="445" spans="5:8">
      <c r="E445" t="str">
        <f>IF(B445="","",IFERROR(VLOOKUP(B445,csvratings!$A:$R,18,FALSE),"Not Found"))</f>
        <v/>
      </c>
      <c r="F445" t="str">
        <f>IF(C445="","",IFERROR(VLOOKUP(C445,csvratings!$A:$R,18,FALSE),"Not Found"))</f>
        <v/>
      </c>
      <c r="G445" t="str">
        <f>IF(D445="","",IFERROR(VLOOKUP(D445,csvratings!$A:$R,18,FALSE),"Not Found"))</f>
        <v/>
      </c>
      <c r="H445" s="4" t="str">
        <f t="shared" ca="1" si="7"/>
        <v/>
      </c>
    </row>
    <row r="446" spans="5:8">
      <c r="E446" t="str">
        <f>IF(B446="","",IFERROR(VLOOKUP(B446,csvratings!$A:$R,18,FALSE),"Not Found"))</f>
        <v/>
      </c>
      <c r="F446" t="str">
        <f>IF(C446="","",IFERROR(VLOOKUP(C446,csvratings!$A:$R,18,FALSE),"Not Found"))</f>
        <v/>
      </c>
      <c r="G446" t="str">
        <f>IF(D446="","",IFERROR(VLOOKUP(D446,csvratings!$A:$R,18,FALSE),"Not Found"))</f>
        <v/>
      </c>
      <c r="H446" s="4" t="str">
        <f t="shared" ca="1" si="7"/>
        <v/>
      </c>
    </row>
    <row r="447" spans="5:8">
      <c r="E447" t="str">
        <f>IF(B447="","",IFERROR(VLOOKUP(B447,csvratings!$A:$R,18,FALSE),"Not Found"))</f>
        <v/>
      </c>
      <c r="F447" t="str">
        <f>IF(C447="","",IFERROR(VLOOKUP(C447,csvratings!$A:$R,18,FALSE),"Not Found"))</f>
        <v/>
      </c>
      <c r="G447" t="str">
        <f>IF(D447="","",IFERROR(VLOOKUP(D447,csvratings!$A:$R,18,FALSE),"Not Found"))</f>
        <v/>
      </c>
      <c r="H447" s="4" t="str">
        <f t="shared" ca="1" si="7"/>
        <v/>
      </c>
    </row>
    <row r="448" spans="5:8">
      <c r="E448" t="str">
        <f>IF(B448="","",IFERROR(VLOOKUP(B448,csvratings!$A:$R,18,FALSE),"Not Found"))</f>
        <v/>
      </c>
      <c r="F448" t="str">
        <f>IF(C448="","",IFERROR(VLOOKUP(C448,csvratings!$A:$R,18,FALSE),"Not Found"))</f>
        <v/>
      </c>
      <c r="G448" t="str">
        <f>IF(D448="","",IFERROR(VLOOKUP(D448,csvratings!$A:$R,18,FALSE),"Not Found"))</f>
        <v/>
      </c>
      <c r="H448" s="4" t="str">
        <f t="shared" ca="1" si="7"/>
        <v/>
      </c>
    </row>
    <row r="449" spans="5:8">
      <c r="E449" t="str">
        <f>IF(B449="","",IFERROR(VLOOKUP(B449,csvratings!$A:$R,18,FALSE),"Not Found"))</f>
        <v/>
      </c>
      <c r="F449" t="str">
        <f>IF(C449="","",IFERROR(VLOOKUP(C449,csvratings!$A:$R,18,FALSE),"Not Found"))</f>
        <v/>
      </c>
      <c r="G449" t="str">
        <f>IF(D449="","",IFERROR(VLOOKUP(D449,csvratings!$A:$R,18,FALSE),"Not Found"))</f>
        <v/>
      </c>
      <c r="H449" s="4" t="str">
        <f t="shared" ca="1" si="7"/>
        <v/>
      </c>
    </row>
    <row r="450" spans="5:8">
      <c r="E450" t="str">
        <f>IF(B450="","",IFERROR(VLOOKUP(B450,csvratings!$A:$R,18,FALSE),"Not Found"))</f>
        <v/>
      </c>
      <c r="F450" t="str">
        <f>IF(C450="","",IFERROR(VLOOKUP(C450,csvratings!$A:$R,18,FALSE),"Not Found"))</f>
        <v/>
      </c>
      <c r="G450" t="str">
        <f>IF(D450="","",IFERROR(VLOOKUP(D450,csvratings!$A:$R,18,FALSE),"Not Found"))</f>
        <v/>
      </c>
      <c r="H450" s="4" t="str">
        <f t="shared" ca="1" si="7"/>
        <v/>
      </c>
    </row>
    <row r="451" spans="5:8">
      <c r="E451" t="str">
        <f>IF(B451="","",IFERROR(VLOOKUP(B451,csvratings!$A:$R,18,FALSE),"Not Found"))</f>
        <v/>
      </c>
      <c r="F451" t="str">
        <f>IF(C451="","",IFERROR(VLOOKUP(C451,csvratings!$A:$R,18,FALSE),"Not Found"))</f>
        <v/>
      </c>
      <c r="G451" t="str">
        <f>IF(D451="","",IFERROR(VLOOKUP(D451,csvratings!$A:$R,18,FALSE),"Not Found"))</f>
        <v/>
      </c>
      <c r="H451" s="4" t="str">
        <f t="shared" ref="H451:H514" ca="1" si="8">IF(AND(B451&lt;&gt;"",C451&lt;&gt;"",D451&lt;&gt;""),TODAY(),"")</f>
        <v/>
      </c>
    </row>
    <row r="452" spans="5:8">
      <c r="E452" t="str">
        <f>IF(B452="","",IFERROR(VLOOKUP(B452,csvratings!$A:$R,18,FALSE),"Not Found"))</f>
        <v/>
      </c>
      <c r="F452" t="str">
        <f>IF(C452="","",IFERROR(VLOOKUP(C452,csvratings!$A:$R,18,FALSE),"Not Found"))</f>
        <v/>
      </c>
      <c r="G452" t="str">
        <f>IF(D452="","",IFERROR(VLOOKUP(D452,csvratings!$A:$R,18,FALSE),"Not Found"))</f>
        <v/>
      </c>
      <c r="H452" s="4" t="str">
        <f t="shared" ca="1" si="8"/>
        <v/>
      </c>
    </row>
    <row r="453" spans="5:8">
      <c r="E453" t="str">
        <f>IF(B453="","",IFERROR(VLOOKUP(B453,csvratings!$A:$R,18,FALSE),"Not Found"))</f>
        <v/>
      </c>
      <c r="F453" t="str">
        <f>IF(C453="","",IFERROR(VLOOKUP(C453,csvratings!$A:$R,18,FALSE),"Not Found"))</f>
        <v/>
      </c>
      <c r="G453" t="str">
        <f>IF(D453="","",IFERROR(VLOOKUP(D453,csvratings!$A:$R,18,FALSE),"Not Found"))</f>
        <v/>
      </c>
      <c r="H453" s="4" t="str">
        <f t="shared" ca="1" si="8"/>
        <v/>
      </c>
    </row>
    <row r="454" spans="5:8">
      <c r="E454" t="str">
        <f>IF(B454="","",IFERROR(VLOOKUP(B454,csvratings!$A:$R,18,FALSE),"Not Found"))</f>
        <v/>
      </c>
      <c r="F454" t="str">
        <f>IF(C454="","",IFERROR(VLOOKUP(C454,csvratings!$A:$R,18,FALSE),"Not Found"))</f>
        <v/>
      </c>
      <c r="G454" t="str">
        <f>IF(D454="","",IFERROR(VLOOKUP(D454,csvratings!$A:$R,18,FALSE),"Not Found"))</f>
        <v/>
      </c>
      <c r="H454" s="4" t="str">
        <f t="shared" ca="1" si="8"/>
        <v/>
      </c>
    </row>
    <row r="455" spans="5:8">
      <c r="E455" t="str">
        <f>IF(B455="","",IFERROR(VLOOKUP(B455,csvratings!$A:$R,18,FALSE),"Not Found"))</f>
        <v/>
      </c>
      <c r="F455" t="str">
        <f>IF(C455="","",IFERROR(VLOOKUP(C455,csvratings!$A:$R,18,FALSE),"Not Found"))</f>
        <v/>
      </c>
      <c r="G455" t="str">
        <f>IF(D455="","",IFERROR(VLOOKUP(D455,csvratings!$A:$R,18,FALSE),"Not Found"))</f>
        <v/>
      </c>
      <c r="H455" s="4" t="str">
        <f t="shared" ca="1" si="8"/>
        <v/>
      </c>
    </row>
    <row r="456" spans="5:8">
      <c r="E456" t="str">
        <f>IF(B456="","",IFERROR(VLOOKUP(B456,csvratings!$A:$R,18,FALSE),"Not Found"))</f>
        <v/>
      </c>
      <c r="F456" t="str">
        <f>IF(C456="","",IFERROR(VLOOKUP(C456,csvratings!$A:$R,18,FALSE),"Not Found"))</f>
        <v/>
      </c>
      <c r="G456" t="str">
        <f>IF(D456="","",IFERROR(VLOOKUP(D456,csvratings!$A:$R,18,FALSE),"Not Found"))</f>
        <v/>
      </c>
      <c r="H456" s="4" t="str">
        <f t="shared" ca="1" si="8"/>
        <v/>
      </c>
    </row>
    <row r="457" spans="5:8">
      <c r="E457" t="str">
        <f>IF(B457="","",IFERROR(VLOOKUP(B457,csvratings!$A:$R,18,FALSE),"Not Found"))</f>
        <v/>
      </c>
      <c r="F457" t="str">
        <f>IF(C457="","",IFERROR(VLOOKUP(C457,csvratings!$A:$R,18,FALSE),"Not Found"))</f>
        <v/>
      </c>
      <c r="G457" t="str">
        <f>IF(D457="","",IFERROR(VLOOKUP(D457,csvratings!$A:$R,18,FALSE),"Not Found"))</f>
        <v/>
      </c>
      <c r="H457" s="4" t="str">
        <f t="shared" ca="1" si="8"/>
        <v/>
      </c>
    </row>
    <row r="458" spans="5:8">
      <c r="E458" t="str">
        <f>IF(B458="","",IFERROR(VLOOKUP(B458,csvratings!$A:$R,18,FALSE),"Not Found"))</f>
        <v/>
      </c>
      <c r="F458" t="str">
        <f>IF(C458="","",IFERROR(VLOOKUP(C458,csvratings!$A:$R,18,FALSE),"Not Found"))</f>
        <v/>
      </c>
      <c r="G458" t="str">
        <f>IF(D458="","",IFERROR(VLOOKUP(D458,csvratings!$A:$R,18,FALSE),"Not Found"))</f>
        <v/>
      </c>
      <c r="H458" s="4" t="str">
        <f t="shared" ca="1" si="8"/>
        <v/>
      </c>
    </row>
    <row r="459" spans="5:8">
      <c r="E459" t="str">
        <f>IF(B459="","",IFERROR(VLOOKUP(B459,csvratings!$A:$R,18,FALSE),"Not Found"))</f>
        <v/>
      </c>
      <c r="F459" t="str">
        <f>IF(C459="","",IFERROR(VLOOKUP(C459,csvratings!$A:$R,18,FALSE),"Not Found"))</f>
        <v/>
      </c>
      <c r="G459" t="str">
        <f>IF(D459="","",IFERROR(VLOOKUP(D459,csvratings!$A:$R,18,FALSE),"Not Found"))</f>
        <v/>
      </c>
      <c r="H459" s="4" t="str">
        <f t="shared" ca="1" si="8"/>
        <v/>
      </c>
    </row>
    <row r="460" spans="5:8">
      <c r="E460" t="str">
        <f>IF(B460="","",IFERROR(VLOOKUP(B460,csvratings!$A:$R,18,FALSE),"Not Found"))</f>
        <v/>
      </c>
      <c r="F460" t="str">
        <f>IF(C460="","",IFERROR(VLOOKUP(C460,csvratings!$A:$R,18,FALSE),"Not Found"))</f>
        <v/>
      </c>
      <c r="G460" t="str">
        <f>IF(D460="","",IFERROR(VLOOKUP(D460,csvratings!$A:$R,18,FALSE),"Not Found"))</f>
        <v/>
      </c>
      <c r="H460" s="4" t="str">
        <f t="shared" ca="1" si="8"/>
        <v/>
      </c>
    </row>
    <row r="461" spans="5:8">
      <c r="E461" t="str">
        <f>IF(B461="","",IFERROR(VLOOKUP(B461,csvratings!$A:$R,18,FALSE),"Not Found"))</f>
        <v/>
      </c>
      <c r="F461" t="str">
        <f>IF(C461="","",IFERROR(VLOOKUP(C461,csvratings!$A:$R,18,FALSE),"Not Found"))</f>
        <v/>
      </c>
      <c r="G461" t="str">
        <f>IF(D461="","",IFERROR(VLOOKUP(D461,csvratings!$A:$R,18,FALSE),"Not Found"))</f>
        <v/>
      </c>
      <c r="H461" s="4" t="str">
        <f t="shared" ca="1" si="8"/>
        <v/>
      </c>
    </row>
    <row r="462" spans="5:8">
      <c r="E462" t="str">
        <f>IF(B462="","",IFERROR(VLOOKUP(B462,csvratings!$A:$R,18,FALSE),"Not Found"))</f>
        <v/>
      </c>
      <c r="F462" t="str">
        <f>IF(C462="","",IFERROR(VLOOKUP(C462,csvratings!$A:$R,18,FALSE),"Not Found"))</f>
        <v/>
      </c>
      <c r="G462" t="str">
        <f>IF(D462="","",IFERROR(VLOOKUP(D462,csvratings!$A:$R,18,FALSE),"Not Found"))</f>
        <v/>
      </c>
      <c r="H462" s="4" t="str">
        <f t="shared" ca="1" si="8"/>
        <v/>
      </c>
    </row>
    <row r="463" spans="5:8">
      <c r="E463" t="str">
        <f>IF(B463="","",IFERROR(VLOOKUP(B463,csvratings!$A:$R,18,FALSE),"Not Found"))</f>
        <v/>
      </c>
      <c r="F463" t="str">
        <f>IF(C463="","",IFERROR(VLOOKUP(C463,csvratings!$A:$R,18,FALSE),"Not Found"))</f>
        <v/>
      </c>
      <c r="G463" t="str">
        <f>IF(D463="","",IFERROR(VLOOKUP(D463,csvratings!$A:$R,18,FALSE),"Not Found"))</f>
        <v/>
      </c>
      <c r="H463" s="4" t="str">
        <f t="shared" ca="1" si="8"/>
        <v/>
      </c>
    </row>
    <row r="464" spans="5:8">
      <c r="E464" t="str">
        <f>IF(B464="","",IFERROR(VLOOKUP(B464,csvratings!$A:$R,18,FALSE),"Not Found"))</f>
        <v/>
      </c>
      <c r="F464" t="str">
        <f>IF(C464="","",IFERROR(VLOOKUP(C464,csvratings!$A:$R,18,FALSE),"Not Found"))</f>
        <v/>
      </c>
      <c r="G464" t="str">
        <f>IF(D464="","",IFERROR(VLOOKUP(D464,csvratings!$A:$R,18,FALSE),"Not Found"))</f>
        <v/>
      </c>
      <c r="H464" s="4" t="str">
        <f t="shared" ca="1" si="8"/>
        <v/>
      </c>
    </row>
    <row r="465" spans="5:8">
      <c r="E465" t="str">
        <f>IF(B465="","",IFERROR(VLOOKUP(B465,csvratings!$A:$R,18,FALSE),"Not Found"))</f>
        <v/>
      </c>
      <c r="F465" t="str">
        <f>IF(C465="","",IFERROR(VLOOKUP(C465,csvratings!$A:$R,18,FALSE),"Not Found"))</f>
        <v/>
      </c>
      <c r="G465" t="str">
        <f>IF(D465="","",IFERROR(VLOOKUP(D465,csvratings!$A:$R,18,FALSE),"Not Found"))</f>
        <v/>
      </c>
      <c r="H465" s="4" t="str">
        <f t="shared" ca="1" si="8"/>
        <v/>
      </c>
    </row>
    <row r="466" spans="5:8">
      <c r="E466" t="str">
        <f>IF(B466="","",IFERROR(VLOOKUP(B466,csvratings!$A:$R,18,FALSE),"Not Found"))</f>
        <v/>
      </c>
      <c r="F466" t="str">
        <f>IF(C466="","",IFERROR(VLOOKUP(C466,csvratings!$A:$R,18,FALSE),"Not Found"))</f>
        <v/>
      </c>
      <c r="G466" t="str">
        <f>IF(D466="","",IFERROR(VLOOKUP(D466,csvratings!$A:$R,18,FALSE),"Not Found"))</f>
        <v/>
      </c>
      <c r="H466" s="4" t="str">
        <f t="shared" ca="1" si="8"/>
        <v/>
      </c>
    </row>
    <row r="467" spans="5:8">
      <c r="E467" t="str">
        <f>IF(B467="","",IFERROR(VLOOKUP(B467,csvratings!$A:$R,18,FALSE),"Not Found"))</f>
        <v/>
      </c>
      <c r="F467" t="str">
        <f>IF(C467="","",IFERROR(VLOOKUP(C467,csvratings!$A:$R,18,FALSE),"Not Found"))</f>
        <v/>
      </c>
      <c r="G467" t="str">
        <f>IF(D467="","",IFERROR(VLOOKUP(D467,csvratings!$A:$R,18,FALSE),"Not Found"))</f>
        <v/>
      </c>
      <c r="H467" s="4" t="str">
        <f t="shared" ca="1" si="8"/>
        <v/>
      </c>
    </row>
    <row r="468" spans="5:8">
      <c r="E468" t="str">
        <f>IF(B468="","",IFERROR(VLOOKUP(B468,csvratings!$A:$R,18,FALSE),"Not Found"))</f>
        <v/>
      </c>
      <c r="F468" t="str">
        <f>IF(C468="","",IFERROR(VLOOKUP(C468,csvratings!$A:$R,18,FALSE),"Not Found"))</f>
        <v/>
      </c>
      <c r="G468" t="str">
        <f>IF(D468="","",IFERROR(VLOOKUP(D468,csvratings!$A:$R,18,FALSE),"Not Found"))</f>
        <v/>
      </c>
      <c r="H468" s="4" t="str">
        <f t="shared" ca="1" si="8"/>
        <v/>
      </c>
    </row>
    <row r="469" spans="5:8">
      <c r="E469" t="str">
        <f>IF(B469="","",IFERROR(VLOOKUP(B469,csvratings!$A:$R,18,FALSE),"Not Found"))</f>
        <v/>
      </c>
      <c r="F469" t="str">
        <f>IF(C469="","",IFERROR(VLOOKUP(C469,csvratings!$A:$R,18,FALSE),"Not Found"))</f>
        <v/>
      </c>
      <c r="G469" t="str">
        <f>IF(D469="","",IFERROR(VLOOKUP(D469,csvratings!$A:$R,18,FALSE),"Not Found"))</f>
        <v/>
      </c>
      <c r="H469" s="4" t="str">
        <f t="shared" ca="1" si="8"/>
        <v/>
      </c>
    </row>
    <row r="470" spans="5:8">
      <c r="E470" t="str">
        <f>IF(B470="","",IFERROR(VLOOKUP(B470,csvratings!$A:$R,18,FALSE),"Not Found"))</f>
        <v/>
      </c>
      <c r="F470" t="str">
        <f>IF(C470="","",IFERROR(VLOOKUP(C470,csvratings!$A:$R,18,FALSE),"Not Found"))</f>
        <v/>
      </c>
      <c r="G470" t="str">
        <f>IF(D470="","",IFERROR(VLOOKUP(D470,csvratings!$A:$R,18,FALSE),"Not Found"))</f>
        <v/>
      </c>
      <c r="H470" s="4" t="str">
        <f t="shared" ca="1" si="8"/>
        <v/>
      </c>
    </row>
    <row r="471" spans="5:8">
      <c r="E471" t="str">
        <f>IF(B471="","",IFERROR(VLOOKUP(B471,csvratings!$A:$R,18,FALSE),"Not Found"))</f>
        <v/>
      </c>
      <c r="F471" t="str">
        <f>IF(C471="","",IFERROR(VLOOKUP(C471,csvratings!$A:$R,18,FALSE),"Not Found"))</f>
        <v/>
      </c>
      <c r="G471" t="str">
        <f>IF(D471="","",IFERROR(VLOOKUP(D471,csvratings!$A:$R,18,FALSE),"Not Found"))</f>
        <v/>
      </c>
      <c r="H471" s="4" t="str">
        <f t="shared" ca="1" si="8"/>
        <v/>
      </c>
    </row>
    <row r="472" spans="5:8">
      <c r="E472" t="str">
        <f>IF(B472="","",IFERROR(VLOOKUP(B472,csvratings!$A:$R,18,FALSE),"Not Found"))</f>
        <v/>
      </c>
      <c r="F472" t="str">
        <f>IF(C472="","",IFERROR(VLOOKUP(C472,csvratings!$A:$R,18,FALSE),"Not Found"))</f>
        <v/>
      </c>
      <c r="G472" t="str">
        <f>IF(D472="","",IFERROR(VLOOKUP(D472,csvratings!$A:$R,18,FALSE),"Not Found"))</f>
        <v/>
      </c>
      <c r="H472" s="4" t="str">
        <f t="shared" ca="1" si="8"/>
        <v/>
      </c>
    </row>
    <row r="473" spans="5:8">
      <c r="E473" t="str">
        <f>IF(B473="","",IFERROR(VLOOKUP(B473,csvratings!$A:$R,18,FALSE),"Not Found"))</f>
        <v/>
      </c>
      <c r="F473" t="str">
        <f>IF(C473="","",IFERROR(VLOOKUP(C473,csvratings!$A:$R,18,FALSE),"Not Found"))</f>
        <v/>
      </c>
      <c r="G473" t="str">
        <f>IF(D473="","",IFERROR(VLOOKUP(D473,csvratings!$A:$R,18,FALSE),"Not Found"))</f>
        <v/>
      </c>
      <c r="H473" s="4" t="str">
        <f t="shared" ca="1" si="8"/>
        <v/>
      </c>
    </row>
    <row r="474" spans="5:8">
      <c r="E474" t="str">
        <f>IF(B474="","",IFERROR(VLOOKUP(B474,csvratings!$A:$R,18,FALSE),"Not Found"))</f>
        <v/>
      </c>
      <c r="F474" t="str">
        <f>IF(C474="","",IFERROR(VLOOKUP(C474,csvratings!$A:$R,18,FALSE),"Not Found"))</f>
        <v/>
      </c>
      <c r="G474" t="str">
        <f>IF(D474="","",IFERROR(VLOOKUP(D474,csvratings!$A:$R,18,FALSE),"Not Found"))</f>
        <v/>
      </c>
      <c r="H474" s="4" t="str">
        <f t="shared" ca="1" si="8"/>
        <v/>
      </c>
    </row>
    <row r="475" spans="5:8">
      <c r="E475" t="str">
        <f>IF(B475="","",IFERROR(VLOOKUP(B475,csvratings!$A:$R,18,FALSE),"Not Found"))</f>
        <v/>
      </c>
      <c r="F475" t="str">
        <f>IF(C475="","",IFERROR(VLOOKUP(C475,csvratings!$A:$R,18,FALSE),"Not Found"))</f>
        <v/>
      </c>
      <c r="G475" t="str">
        <f>IF(D475="","",IFERROR(VLOOKUP(D475,csvratings!$A:$R,18,FALSE),"Not Found"))</f>
        <v/>
      </c>
      <c r="H475" s="4" t="str">
        <f t="shared" ca="1" si="8"/>
        <v/>
      </c>
    </row>
    <row r="476" spans="5:8">
      <c r="E476" t="str">
        <f>IF(B476="","",IFERROR(VLOOKUP(B476,csvratings!$A:$R,18,FALSE),"Not Found"))</f>
        <v/>
      </c>
      <c r="F476" t="str">
        <f>IF(C476="","",IFERROR(VLOOKUP(C476,csvratings!$A:$R,18,FALSE),"Not Found"))</f>
        <v/>
      </c>
      <c r="G476" t="str">
        <f>IF(D476="","",IFERROR(VLOOKUP(D476,csvratings!$A:$R,18,FALSE),"Not Found"))</f>
        <v/>
      </c>
      <c r="H476" s="4" t="str">
        <f t="shared" ca="1" si="8"/>
        <v/>
      </c>
    </row>
    <row r="477" spans="5:8">
      <c r="E477" t="str">
        <f>IF(B477="","",IFERROR(VLOOKUP(B477,csvratings!$A:$R,18,FALSE),"Not Found"))</f>
        <v/>
      </c>
      <c r="F477" t="str">
        <f>IF(C477="","",IFERROR(VLOOKUP(C477,csvratings!$A:$R,18,FALSE),"Not Found"))</f>
        <v/>
      </c>
      <c r="G477" t="str">
        <f>IF(D477="","",IFERROR(VLOOKUP(D477,csvratings!$A:$R,18,FALSE),"Not Found"))</f>
        <v/>
      </c>
      <c r="H477" s="4" t="str">
        <f t="shared" ca="1" si="8"/>
        <v/>
      </c>
    </row>
    <row r="478" spans="5:8">
      <c r="E478" t="str">
        <f>IF(B478="","",IFERROR(VLOOKUP(B478,csvratings!$A:$R,18,FALSE),"Not Found"))</f>
        <v/>
      </c>
      <c r="F478" t="str">
        <f>IF(C478="","",IFERROR(VLOOKUP(C478,csvratings!$A:$R,18,FALSE),"Not Found"))</f>
        <v/>
      </c>
      <c r="G478" t="str">
        <f>IF(D478="","",IFERROR(VLOOKUP(D478,csvratings!$A:$R,18,FALSE),"Not Found"))</f>
        <v/>
      </c>
      <c r="H478" s="4" t="str">
        <f t="shared" ca="1" si="8"/>
        <v/>
      </c>
    </row>
    <row r="479" spans="5:8">
      <c r="E479" t="str">
        <f>IF(B479="","",IFERROR(VLOOKUP(B479,csvratings!$A:$R,18,FALSE),"Not Found"))</f>
        <v/>
      </c>
      <c r="F479" t="str">
        <f>IF(C479="","",IFERROR(VLOOKUP(C479,csvratings!$A:$R,18,FALSE),"Not Found"))</f>
        <v/>
      </c>
      <c r="G479" t="str">
        <f>IF(D479="","",IFERROR(VLOOKUP(D479,csvratings!$A:$R,18,FALSE),"Not Found"))</f>
        <v/>
      </c>
      <c r="H479" s="4" t="str">
        <f t="shared" ca="1" si="8"/>
        <v/>
      </c>
    </row>
    <row r="480" spans="5:8">
      <c r="E480" t="str">
        <f>IF(B480="","",IFERROR(VLOOKUP(B480,csvratings!$A:$R,18,FALSE),"Not Found"))</f>
        <v/>
      </c>
      <c r="F480" t="str">
        <f>IF(C480="","",IFERROR(VLOOKUP(C480,csvratings!$A:$R,18,FALSE),"Not Found"))</f>
        <v/>
      </c>
      <c r="G480" t="str">
        <f>IF(D480="","",IFERROR(VLOOKUP(D480,csvratings!$A:$R,18,FALSE),"Not Found"))</f>
        <v/>
      </c>
      <c r="H480" s="4" t="str">
        <f t="shared" ca="1" si="8"/>
        <v/>
      </c>
    </row>
    <row r="481" spans="5:8">
      <c r="E481" t="str">
        <f>IF(B481="","",IFERROR(VLOOKUP(B481,csvratings!$A:$R,18,FALSE),"Not Found"))</f>
        <v/>
      </c>
      <c r="F481" t="str">
        <f>IF(C481="","",IFERROR(VLOOKUP(C481,csvratings!$A:$R,18,FALSE),"Not Found"))</f>
        <v/>
      </c>
      <c r="G481" t="str">
        <f>IF(D481="","",IFERROR(VLOOKUP(D481,csvratings!$A:$R,18,FALSE),"Not Found"))</f>
        <v/>
      </c>
      <c r="H481" s="4" t="str">
        <f t="shared" ca="1" si="8"/>
        <v/>
      </c>
    </row>
    <row r="482" spans="5:8">
      <c r="E482" t="str">
        <f>IF(B482="","",IFERROR(VLOOKUP(B482,csvratings!$A:$R,18,FALSE),"Not Found"))</f>
        <v/>
      </c>
      <c r="F482" t="str">
        <f>IF(C482="","",IFERROR(VLOOKUP(C482,csvratings!$A:$R,18,FALSE),"Not Found"))</f>
        <v/>
      </c>
      <c r="G482" t="str">
        <f>IF(D482="","",IFERROR(VLOOKUP(D482,csvratings!$A:$R,18,FALSE),"Not Found"))</f>
        <v/>
      </c>
      <c r="H482" s="4" t="str">
        <f t="shared" ca="1" si="8"/>
        <v/>
      </c>
    </row>
    <row r="483" spans="5:8">
      <c r="E483" t="str">
        <f>IF(B483="","",IFERROR(VLOOKUP(B483,csvratings!$A:$R,18,FALSE),"Not Found"))</f>
        <v/>
      </c>
      <c r="F483" t="str">
        <f>IF(C483="","",IFERROR(VLOOKUP(C483,csvratings!$A:$R,18,FALSE),"Not Found"))</f>
        <v/>
      </c>
      <c r="G483" t="str">
        <f>IF(D483="","",IFERROR(VLOOKUP(D483,csvratings!$A:$R,18,FALSE),"Not Found"))</f>
        <v/>
      </c>
      <c r="H483" s="4" t="str">
        <f t="shared" ca="1" si="8"/>
        <v/>
      </c>
    </row>
    <row r="484" spans="5:8">
      <c r="E484" t="str">
        <f>IF(B484="","",IFERROR(VLOOKUP(B484,csvratings!$A:$R,18,FALSE),"Not Found"))</f>
        <v/>
      </c>
      <c r="F484" t="str">
        <f>IF(C484="","",IFERROR(VLOOKUP(C484,csvratings!$A:$R,18,FALSE),"Not Found"))</f>
        <v/>
      </c>
      <c r="G484" t="str">
        <f>IF(D484="","",IFERROR(VLOOKUP(D484,csvratings!$A:$R,18,FALSE),"Not Found"))</f>
        <v/>
      </c>
      <c r="H484" s="4" t="str">
        <f t="shared" ca="1" si="8"/>
        <v/>
      </c>
    </row>
    <row r="485" spans="5:8">
      <c r="E485" t="str">
        <f>IF(B485="","",IFERROR(VLOOKUP(B485,csvratings!$A:$R,18,FALSE),"Not Found"))</f>
        <v/>
      </c>
      <c r="F485" t="str">
        <f>IF(C485="","",IFERROR(VLOOKUP(C485,csvratings!$A:$R,18,FALSE),"Not Found"))</f>
        <v/>
      </c>
      <c r="G485" t="str">
        <f>IF(D485="","",IFERROR(VLOOKUP(D485,csvratings!$A:$R,18,FALSE),"Not Found"))</f>
        <v/>
      </c>
      <c r="H485" s="4" t="str">
        <f t="shared" ca="1" si="8"/>
        <v/>
      </c>
    </row>
    <row r="486" spans="5:8">
      <c r="E486" t="str">
        <f>IF(B486="","",IFERROR(VLOOKUP(B486,csvratings!$A:$R,18,FALSE),"Not Found"))</f>
        <v/>
      </c>
      <c r="F486" t="str">
        <f>IF(C486="","",IFERROR(VLOOKUP(C486,csvratings!$A:$R,18,FALSE),"Not Found"))</f>
        <v/>
      </c>
      <c r="G486" t="str">
        <f>IF(D486="","",IFERROR(VLOOKUP(D486,csvratings!$A:$R,18,FALSE),"Not Found"))</f>
        <v/>
      </c>
      <c r="H486" s="4" t="str">
        <f t="shared" ca="1" si="8"/>
        <v/>
      </c>
    </row>
    <row r="487" spans="5:8">
      <c r="E487" t="str">
        <f>IF(B487="","",IFERROR(VLOOKUP(B487,csvratings!$A:$R,18,FALSE),"Not Found"))</f>
        <v/>
      </c>
      <c r="F487" t="str">
        <f>IF(C487="","",IFERROR(VLOOKUP(C487,csvratings!$A:$R,18,FALSE),"Not Found"))</f>
        <v/>
      </c>
      <c r="G487" t="str">
        <f>IF(D487="","",IFERROR(VLOOKUP(D487,csvratings!$A:$R,18,FALSE),"Not Found"))</f>
        <v/>
      </c>
      <c r="H487" s="4" t="str">
        <f t="shared" ca="1" si="8"/>
        <v/>
      </c>
    </row>
    <row r="488" spans="5:8">
      <c r="E488" t="str">
        <f>IF(B488="","",IFERROR(VLOOKUP(B488,csvratings!$A:$R,18,FALSE),"Not Found"))</f>
        <v/>
      </c>
      <c r="F488" t="str">
        <f>IF(C488="","",IFERROR(VLOOKUP(C488,csvratings!$A:$R,18,FALSE),"Not Found"))</f>
        <v/>
      </c>
      <c r="G488" t="str">
        <f>IF(D488="","",IFERROR(VLOOKUP(D488,csvratings!$A:$R,18,FALSE),"Not Found"))</f>
        <v/>
      </c>
      <c r="H488" s="4" t="str">
        <f t="shared" ca="1" si="8"/>
        <v/>
      </c>
    </row>
    <row r="489" spans="5:8">
      <c r="E489" t="str">
        <f>IF(B489="","",IFERROR(VLOOKUP(B489,csvratings!$A:$R,18,FALSE),"Not Found"))</f>
        <v/>
      </c>
      <c r="F489" t="str">
        <f>IF(C489="","",IFERROR(VLOOKUP(C489,csvratings!$A:$R,18,FALSE),"Not Found"))</f>
        <v/>
      </c>
      <c r="G489" t="str">
        <f>IF(D489="","",IFERROR(VLOOKUP(D489,csvratings!$A:$R,18,FALSE),"Not Found"))</f>
        <v/>
      </c>
      <c r="H489" s="4" t="str">
        <f t="shared" ca="1" si="8"/>
        <v/>
      </c>
    </row>
    <row r="490" spans="5:8">
      <c r="E490" t="str">
        <f>IF(B490="","",IFERROR(VLOOKUP(B490,csvratings!$A:$R,18,FALSE),"Not Found"))</f>
        <v/>
      </c>
      <c r="F490" t="str">
        <f>IF(C490="","",IFERROR(VLOOKUP(C490,csvratings!$A:$R,18,FALSE),"Not Found"))</f>
        <v/>
      </c>
      <c r="G490" t="str">
        <f>IF(D490="","",IFERROR(VLOOKUP(D490,csvratings!$A:$R,18,FALSE),"Not Found"))</f>
        <v/>
      </c>
      <c r="H490" s="4" t="str">
        <f t="shared" ca="1" si="8"/>
        <v/>
      </c>
    </row>
    <row r="491" spans="5:8">
      <c r="E491" t="str">
        <f>IF(B491="","",IFERROR(VLOOKUP(B491,csvratings!$A:$R,18,FALSE),"Not Found"))</f>
        <v/>
      </c>
      <c r="F491" t="str">
        <f>IF(C491="","",IFERROR(VLOOKUP(C491,csvratings!$A:$R,18,FALSE),"Not Found"))</f>
        <v/>
      </c>
      <c r="G491" t="str">
        <f>IF(D491="","",IFERROR(VLOOKUP(D491,csvratings!$A:$R,18,FALSE),"Not Found"))</f>
        <v/>
      </c>
      <c r="H491" s="4" t="str">
        <f t="shared" ca="1" si="8"/>
        <v/>
      </c>
    </row>
    <row r="492" spans="5:8">
      <c r="E492" t="str">
        <f>IF(B492="","",IFERROR(VLOOKUP(B492,csvratings!$A:$R,18,FALSE),"Not Found"))</f>
        <v/>
      </c>
      <c r="F492" t="str">
        <f>IF(C492="","",IFERROR(VLOOKUP(C492,csvratings!$A:$R,18,FALSE),"Not Found"))</f>
        <v/>
      </c>
      <c r="G492" t="str">
        <f>IF(D492="","",IFERROR(VLOOKUP(D492,csvratings!$A:$R,18,FALSE),"Not Found"))</f>
        <v/>
      </c>
      <c r="H492" s="4" t="str">
        <f t="shared" ca="1" si="8"/>
        <v/>
      </c>
    </row>
    <row r="493" spans="5:8">
      <c r="E493" t="str">
        <f>IF(B493="","",IFERROR(VLOOKUP(B493,csvratings!$A:$R,18,FALSE),"Not Found"))</f>
        <v/>
      </c>
      <c r="F493" t="str">
        <f>IF(C493="","",IFERROR(VLOOKUP(C493,csvratings!$A:$R,18,FALSE),"Not Found"))</f>
        <v/>
      </c>
      <c r="G493" t="str">
        <f>IF(D493="","",IFERROR(VLOOKUP(D493,csvratings!$A:$R,18,FALSE),"Not Found"))</f>
        <v/>
      </c>
      <c r="H493" s="4" t="str">
        <f t="shared" ca="1" si="8"/>
        <v/>
      </c>
    </row>
    <row r="494" spans="5:8">
      <c r="E494" t="str">
        <f>IF(B494="","",IFERROR(VLOOKUP(B494,csvratings!$A:$R,18,FALSE),"Not Found"))</f>
        <v/>
      </c>
      <c r="F494" t="str">
        <f>IF(C494="","",IFERROR(VLOOKUP(C494,csvratings!$A:$R,18,FALSE),"Not Found"))</f>
        <v/>
      </c>
      <c r="G494" t="str">
        <f>IF(D494="","",IFERROR(VLOOKUP(D494,csvratings!$A:$R,18,FALSE),"Not Found"))</f>
        <v/>
      </c>
      <c r="H494" s="4" t="str">
        <f t="shared" ca="1" si="8"/>
        <v/>
      </c>
    </row>
    <row r="495" spans="5:8">
      <c r="E495" t="str">
        <f>IF(B495="","",IFERROR(VLOOKUP(B495,csvratings!$A:$R,18,FALSE),"Not Found"))</f>
        <v/>
      </c>
      <c r="F495" t="str">
        <f>IF(C495="","",IFERROR(VLOOKUP(C495,csvratings!$A:$R,18,FALSE),"Not Found"))</f>
        <v/>
      </c>
      <c r="G495" t="str">
        <f>IF(D495="","",IFERROR(VLOOKUP(D495,csvratings!$A:$R,18,FALSE),"Not Found"))</f>
        <v/>
      </c>
      <c r="H495" s="4" t="str">
        <f t="shared" ca="1" si="8"/>
        <v/>
      </c>
    </row>
    <row r="496" spans="5:8">
      <c r="E496" t="str">
        <f>IF(B496="","",IFERROR(VLOOKUP(B496,csvratings!$A:$R,18,FALSE),"Not Found"))</f>
        <v/>
      </c>
      <c r="F496" t="str">
        <f>IF(C496="","",IFERROR(VLOOKUP(C496,csvratings!$A:$R,18,FALSE),"Not Found"))</f>
        <v/>
      </c>
      <c r="G496" t="str">
        <f>IF(D496="","",IFERROR(VLOOKUP(D496,csvratings!$A:$R,18,FALSE),"Not Found"))</f>
        <v/>
      </c>
      <c r="H496" s="4" t="str">
        <f t="shared" ca="1" si="8"/>
        <v/>
      </c>
    </row>
    <row r="497" spans="5:8">
      <c r="E497" t="str">
        <f>IF(B497="","",IFERROR(VLOOKUP(B497,csvratings!$A:$R,18,FALSE),"Not Found"))</f>
        <v/>
      </c>
      <c r="F497" t="str">
        <f>IF(C497="","",IFERROR(VLOOKUP(C497,csvratings!$A:$R,18,FALSE),"Not Found"))</f>
        <v/>
      </c>
      <c r="G497" t="str">
        <f>IF(D497="","",IFERROR(VLOOKUP(D497,csvratings!$A:$R,18,FALSE),"Not Found"))</f>
        <v/>
      </c>
      <c r="H497" s="4" t="str">
        <f t="shared" ca="1" si="8"/>
        <v/>
      </c>
    </row>
    <row r="498" spans="5:8">
      <c r="E498" t="str">
        <f>IF(B498="","",IFERROR(VLOOKUP(B498,csvratings!$A:$R,18,FALSE),"Not Found"))</f>
        <v/>
      </c>
      <c r="F498" t="str">
        <f>IF(C498="","",IFERROR(VLOOKUP(C498,csvratings!$A:$R,18,FALSE),"Not Found"))</f>
        <v/>
      </c>
      <c r="G498" t="str">
        <f>IF(D498="","",IFERROR(VLOOKUP(D498,csvratings!$A:$R,18,FALSE),"Not Found"))</f>
        <v/>
      </c>
      <c r="H498" s="4" t="str">
        <f t="shared" ca="1" si="8"/>
        <v/>
      </c>
    </row>
    <row r="499" spans="5:8">
      <c r="E499" t="str">
        <f>IF(B499="","",IFERROR(VLOOKUP(B499,csvratings!$A:$R,18,FALSE),"Not Found"))</f>
        <v/>
      </c>
      <c r="F499" t="str">
        <f>IF(C499="","",IFERROR(VLOOKUP(C499,csvratings!$A:$R,18,FALSE),"Not Found"))</f>
        <v/>
      </c>
      <c r="G499" t="str">
        <f>IF(D499="","",IFERROR(VLOOKUP(D499,csvratings!$A:$R,18,FALSE),"Not Found"))</f>
        <v/>
      </c>
      <c r="H499" s="4" t="str">
        <f t="shared" ca="1" si="8"/>
        <v/>
      </c>
    </row>
    <row r="500" spans="5:8">
      <c r="E500" t="str">
        <f>IF(B500="","",IFERROR(VLOOKUP(B500,csvratings!$A:$R,18,FALSE),"Not Found"))</f>
        <v/>
      </c>
      <c r="F500" t="str">
        <f>IF(C500="","",IFERROR(VLOOKUP(C500,csvratings!$A:$R,18,FALSE),"Not Found"))</f>
        <v/>
      </c>
      <c r="G500" t="str">
        <f>IF(D500="","",IFERROR(VLOOKUP(D500,csvratings!$A:$R,18,FALSE),"Not Found"))</f>
        <v/>
      </c>
      <c r="H500" s="4" t="str">
        <f t="shared" ca="1" si="8"/>
        <v/>
      </c>
    </row>
    <row r="501" spans="5:8">
      <c r="E501" t="str">
        <f>IF(B501="","",IFERROR(VLOOKUP(B501,csvratings!$A:$R,18,FALSE),"Not Found"))</f>
        <v/>
      </c>
      <c r="F501" t="str">
        <f>IF(C501="","",IFERROR(VLOOKUP(C501,csvratings!$A:$R,18,FALSE),"Not Found"))</f>
        <v/>
      </c>
      <c r="G501" t="str">
        <f>IF(D501="","",IFERROR(VLOOKUP(D501,csvratings!$A:$R,18,FALSE),"Not Found"))</f>
        <v/>
      </c>
      <c r="H501" s="4" t="str">
        <f t="shared" ca="1" si="8"/>
        <v/>
      </c>
    </row>
    <row r="502" spans="5:8">
      <c r="E502" t="str">
        <f>IF(B502="","",IFERROR(VLOOKUP(B502,csvratings!$A:$R,18,FALSE),"Not Found"))</f>
        <v/>
      </c>
      <c r="F502" t="str">
        <f>IF(C502="","",IFERROR(VLOOKUP(C502,csvratings!$A:$R,18,FALSE),"Not Found"))</f>
        <v/>
      </c>
      <c r="G502" t="str">
        <f>IF(D502="","",IFERROR(VLOOKUP(D502,csvratings!$A:$R,18,FALSE),"Not Found"))</f>
        <v/>
      </c>
      <c r="H502" s="4" t="str">
        <f t="shared" ca="1" si="8"/>
        <v/>
      </c>
    </row>
    <row r="503" spans="5:8">
      <c r="E503" t="str">
        <f>IF(B503="","",IFERROR(VLOOKUP(B503,csvratings!$A:$R,18,FALSE),"Not Found"))</f>
        <v/>
      </c>
      <c r="F503" t="str">
        <f>IF(C503="","",IFERROR(VLOOKUP(C503,csvratings!$A:$R,18,FALSE),"Not Found"))</f>
        <v/>
      </c>
      <c r="G503" t="str">
        <f>IF(D503="","",IFERROR(VLOOKUP(D503,csvratings!$A:$R,18,FALSE),"Not Found"))</f>
        <v/>
      </c>
      <c r="H503" s="4" t="str">
        <f t="shared" ca="1" si="8"/>
        <v/>
      </c>
    </row>
    <row r="504" spans="5:8">
      <c r="E504" t="str">
        <f>IF(B504="","",IFERROR(VLOOKUP(B504,csvratings!$A:$R,18,FALSE),"Not Found"))</f>
        <v/>
      </c>
      <c r="F504" t="str">
        <f>IF(C504="","",IFERROR(VLOOKUP(C504,csvratings!$A:$R,18,FALSE),"Not Found"))</f>
        <v/>
      </c>
      <c r="G504" t="str">
        <f>IF(D504="","",IFERROR(VLOOKUP(D504,csvratings!$A:$R,18,FALSE),"Not Found"))</f>
        <v/>
      </c>
      <c r="H504" s="4" t="str">
        <f t="shared" ca="1" si="8"/>
        <v/>
      </c>
    </row>
    <row r="505" spans="5:8">
      <c r="E505" t="str">
        <f>IF(B505="","",IFERROR(VLOOKUP(B505,csvratings!$A:$R,18,FALSE),"Not Found"))</f>
        <v/>
      </c>
      <c r="F505" t="str">
        <f>IF(C505="","",IFERROR(VLOOKUP(C505,csvratings!$A:$R,18,FALSE),"Not Found"))</f>
        <v/>
      </c>
      <c r="G505" t="str">
        <f>IF(D505="","",IFERROR(VLOOKUP(D505,csvratings!$A:$R,18,FALSE),"Not Found"))</f>
        <v/>
      </c>
      <c r="H505" s="4" t="str">
        <f t="shared" ca="1" si="8"/>
        <v/>
      </c>
    </row>
    <row r="506" spans="5:8">
      <c r="E506" t="str">
        <f>IF(B506="","",IFERROR(VLOOKUP(B506,csvratings!$A:$R,18,FALSE),"Not Found"))</f>
        <v/>
      </c>
      <c r="F506" t="str">
        <f>IF(C506="","",IFERROR(VLOOKUP(C506,csvratings!$A:$R,18,FALSE),"Not Found"))</f>
        <v/>
      </c>
      <c r="G506" t="str">
        <f>IF(D506="","",IFERROR(VLOOKUP(D506,csvratings!$A:$R,18,FALSE),"Not Found"))</f>
        <v/>
      </c>
      <c r="H506" s="4" t="str">
        <f t="shared" ca="1" si="8"/>
        <v/>
      </c>
    </row>
    <row r="507" spans="5:8">
      <c r="E507" t="str">
        <f>IF(B507="","",IFERROR(VLOOKUP(B507,csvratings!$A:$R,18,FALSE),"Not Found"))</f>
        <v/>
      </c>
      <c r="F507" t="str">
        <f>IF(C507="","",IFERROR(VLOOKUP(C507,csvratings!$A:$R,18,FALSE),"Not Found"))</f>
        <v/>
      </c>
      <c r="G507" t="str">
        <f>IF(D507="","",IFERROR(VLOOKUP(D507,csvratings!$A:$R,18,FALSE),"Not Found"))</f>
        <v/>
      </c>
      <c r="H507" s="4" t="str">
        <f t="shared" ca="1" si="8"/>
        <v/>
      </c>
    </row>
    <row r="508" spans="5:8">
      <c r="E508" t="str">
        <f>IF(B508="","",IFERROR(VLOOKUP(B508,csvratings!$A:$R,18,FALSE),"Not Found"))</f>
        <v/>
      </c>
      <c r="F508" t="str">
        <f>IF(C508="","",IFERROR(VLOOKUP(C508,csvratings!$A:$R,18,FALSE),"Not Found"))</f>
        <v/>
      </c>
      <c r="G508" t="str">
        <f>IF(D508="","",IFERROR(VLOOKUP(D508,csvratings!$A:$R,18,FALSE),"Not Found"))</f>
        <v/>
      </c>
      <c r="H508" s="4" t="str">
        <f t="shared" ca="1" si="8"/>
        <v/>
      </c>
    </row>
    <row r="509" spans="5:8">
      <c r="E509" t="str">
        <f>IF(B509="","",IFERROR(VLOOKUP(B509,csvratings!$A:$R,18,FALSE),"Not Found"))</f>
        <v/>
      </c>
      <c r="F509" t="str">
        <f>IF(C509="","",IFERROR(VLOOKUP(C509,csvratings!$A:$R,18,FALSE),"Not Found"))</f>
        <v/>
      </c>
      <c r="G509" t="str">
        <f>IF(D509="","",IFERROR(VLOOKUP(D509,csvratings!$A:$R,18,FALSE),"Not Found"))</f>
        <v/>
      </c>
      <c r="H509" s="4" t="str">
        <f t="shared" ca="1" si="8"/>
        <v/>
      </c>
    </row>
    <row r="510" spans="5:8">
      <c r="E510" t="str">
        <f>IF(B510="","",IFERROR(VLOOKUP(B510,csvratings!$A:$R,18,FALSE),"Not Found"))</f>
        <v/>
      </c>
      <c r="F510" t="str">
        <f>IF(C510="","",IFERROR(VLOOKUP(C510,csvratings!$A:$R,18,FALSE),"Not Found"))</f>
        <v/>
      </c>
      <c r="G510" t="str">
        <f>IF(D510="","",IFERROR(VLOOKUP(D510,csvratings!$A:$R,18,FALSE),"Not Found"))</f>
        <v/>
      </c>
      <c r="H510" s="4" t="str">
        <f t="shared" ca="1" si="8"/>
        <v/>
      </c>
    </row>
    <row r="511" spans="5:8">
      <c r="E511" t="str">
        <f>IF(B511="","",IFERROR(VLOOKUP(B511,csvratings!$A:$R,18,FALSE),"Not Found"))</f>
        <v/>
      </c>
      <c r="F511" t="str">
        <f>IF(C511="","",IFERROR(VLOOKUP(C511,csvratings!$A:$R,18,FALSE),"Not Found"))</f>
        <v/>
      </c>
      <c r="G511" t="str">
        <f>IF(D511="","",IFERROR(VLOOKUP(D511,csvratings!$A:$R,18,FALSE),"Not Found"))</f>
        <v/>
      </c>
      <c r="H511" s="4" t="str">
        <f t="shared" ca="1" si="8"/>
        <v/>
      </c>
    </row>
    <row r="512" spans="5:8">
      <c r="E512" t="str">
        <f>IF(B512="","",IFERROR(VLOOKUP(B512,csvratings!$A:$R,18,FALSE),"Not Found"))</f>
        <v/>
      </c>
      <c r="F512" t="str">
        <f>IF(C512="","",IFERROR(VLOOKUP(C512,csvratings!$A:$R,18,FALSE),"Not Found"))</f>
        <v/>
      </c>
      <c r="G512" t="str">
        <f>IF(D512="","",IFERROR(VLOOKUP(D512,csvratings!$A:$R,18,FALSE),"Not Found"))</f>
        <v/>
      </c>
      <c r="H512" s="4" t="str">
        <f t="shared" ca="1" si="8"/>
        <v/>
      </c>
    </row>
    <row r="513" spans="5:8">
      <c r="E513" t="str">
        <f>IF(B513="","",IFERROR(VLOOKUP(B513,csvratings!$A:$R,18,FALSE),"Not Found"))</f>
        <v/>
      </c>
      <c r="F513" t="str">
        <f>IF(C513="","",IFERROR(VLOOKUP(C513,csvratings!$A:$R,18,FALSE),"Not Found"))</f>
        <v/>
      </c>
      <c r="G513" t="str">
        <f>IF(D513="","",IFERROR(VLOOKUP(D513,csvratings!$A:$R,18,FALSE),"Not Found"))</f>
        <v/>
      </c>
      <c r="H513" s="4" t="str">
        <f t="shared" ca="1" si="8"/>
        <v/>
      </c>
    </row>
    <row r="514" spans="5:8">
      <c r="E514" t="str">
        <f>IF(B514="","",IFERROR(VLOOKUP(B514,csvratings!$A:$R,18,FALSE),"Not Found"))</f>
        <v/>
      </c>
      <c r="F514" t="str">
        <f>IF(C514="","",IFERROR(VLOOKUP(C514,csvratings!$A:$R,18,FALSE),"Not Found"))</f>
        <v/>
      </c>
      <c r="G514" t="str">
        <f>IF(D514="","",IFERROR(VLOOKUP(D514,csvratings!$A:$R,18,FALSE),"Not Found"))</f>
        <v/>
      </c>
      <c r="H514" s="4" t="str">
        <f t="shared" ca="1" si="8"/>
        <v/>
      </c>
    </row>
    <row r="515" spans="5:8">
      <c r="E515" t="str">
        <f>IF(B515="","",IFERROR(VLOOKUP(B515,csvratings!$A:$R,18,FALSE),"Not Found"))</f>
        <v/>
      </c>
      <c r="F515" t="str">
        <f>IF(C515="","",IFERROR(VLOOKUP(C515,csvratings!$A:$R,18,FALSE),"Not Found"))</f>
        <v/>
      </c>
      <c r="G515" t="str">
        <f>IF(D515="","",IFERROR(VLOOKUP(D515,csvratings!$A:$R,18,FALSE),"Not Found"))</f>
        <v/>
      </c>
      <c r="H515" s="4" t="str">
        <f t="shared" ref="H515:H578" ca="1" si="9">IF(AND(B515&lt;&gt;"",C515&lt;&gt;"",D515&lt;&gt;""),TODAY(),"")</f>
        <v/>
      </c>
    </row>
    <row r="516" spans="5:8">
      <c r="E516" t="str">
        <f>IF(B516="","",IFERROR(VLOOKUP(B516,csvratings!$A:$R,18,FALSE),"Not Found"))</f>
        <v/>
      </c>
      <c r="F516" t="str">
        <f>IF(C516="","",IFERROR(VLOOKUP(C516,csvratings!$A:$R,18,FALSE),"Not Found"))</f>
        <v/>
      </c>
      <c r="G516" t="str">
        <f>IF(D516="","",IFERROR(VLOOKUP(D516,csvratings!$A:$R,18,FALSE),"Not Found"))</f>
        <v/>
      </c>
      <c r="H516" s="4" t="str">
        <f t="shared" ca="1" si="9"/>
        <v/>
      </c>
    </row>
    <row r="517" spans="5:8">
      <c r="E517" t="str">
        <f>IF(B517="","",IFERROR(VLOOKUP(B517,csvratings!$A:$R,18,FALSE),"Not Found"))</f>
        <v/>
      </c>
      <c r="F517" t="str">
        <f>IF(C517="","",IFERROR(VLOOKUP(C517,csvratings!$A:$R,18,FALSE),"Not Found"))</f>
        <v/>
      </c>
      <c r="G517" t="str">
        <f>IF(D517="","",IFERROR(VLOOKUP(D517,csvratings!$A:$R,18,FALSE),"Not Found"))</f>
        <v/>
      </c>
      <c r="H517" s="4" t="str">
        <f t="shared" ca="1" si="9"/>
        <v/>
      </c>
    </row>
    <row r="518" spans="5:8">
      <c r="E518" t="str">
        <f>IF(B518="","",IFERROR(VLOOKUP(B518,csvratings!$A:$R,18,FALSE),"Not Found"))</f>
        <v/>
      </c>
      <c r="F518" t="str">
        <f>IF(C518="","",IFERROR(VLOOKUP(C518,csvratings!$A:$R,18,FALSE),"Not Found"))</f>
        <v/>
      </c>
      <c r="G518" t="str">
        <f>IF(D518="","",IFERROR(VLOOKUP(D518,csvratings!$A:$R,18,FALSE),"Not Found"))</f>
        <v/>
      </c>
      <c r="H518" s="4" t="str">
        <f t="shared" ca="1" si="9"/>
        <v/>
      </c>
    </row>
    <row r="519" spans="5:8">
      <c r="E519" t="str">
        <f>IF(B519="","",IFERROR(VLOOKUP(B519,csvratings!$A:$R,18,FALSE),"Not Found"))</f>
        <v/>
      </c>
      <c r="F519" t="str">
        <f>IF(C519="","",IFERROR(VLOOKUP(C519,csvratings!$A:$R,18,FALSE),"Not Found"))</f>
        <v/>
      </c>
      <c r="G519" t="str">
        <f>IF(D519="","",IFERROR(VLOOKUP(D519,csvratings!$A:$R,18,FALSE),"Not Found"))</f>
        <v/>
      </c>
      <c r="H519" s="4" t="str">
        <f t="shared" ca="1" si="9"/>
        <v/>
      </c>
    </row>
    <row r="520" spans="5:8">
      <c r="E520" t="str">
        <f>IF(B520="","",IFERROR(VLOOKUP(B520,csvratings!$A:$R,18,FALSE),"Not Found"))</f>
        <v/>
      </c>
      <c r="F520" t="str">
        <f>IF(C520="","",IFERROR(VLOOKUP(C520,csvratings!$A:$R,18,FALSE),"Not Found"))</f>
        <v/>
      </c>
      <c r="G520" t="str">
        <f>IF(D520="","",IFERROR(VLOOKUP(D520,csvratings!$A:$R,18,FALSE),"Not Found"))</f>
        <v/>
      </c>
      <c r="H520" s="4" t="str">
        <f t="shared" ca="1" si="9"/>
        <v/>
      </c>
    </row>
    <row r="521" spans="5:8">
      <c r="E521" t="str">
        <f>IF(B521="","",IFERROR(VLOOKUP(B521,csvratings!$A:$R,18,FALSE),"Not Found"))</f>
        <v/>
      </c>
      <c r="F521" t="str">
        <f>IF(C521="","",IFERROR(VLOOKUP(C521,csvratings!$A:$R,18,FALSE),"Not Found"))</f>
        <v/>
      </c>
      <c r="G521" t="str">
        <f>IF(D521="","",IFERROR(VLOOKUP(D521,csvratings!$A:$R,18,FALSE),"Not Found"))</f>
        <v/>
      </c>
      <c r="H521" s="4" t="str">
        <f t="shared" ca="1" si="9"/>
        <v/>
      </c>
    </row>
    <row r="522" spans="5:8">
      <c r="E522" t="str">
        <f>IF(B522="","",IFERROR(VLOOKUP(B522,csvratings!$A:$R,18,FALSE),"Not Found"))</f>
        <v/>
      </c>
      <c r="F522" t="str">
        <f>IF(C522="","",IFERROR(VLOOKUP(C522,csvratings!$A:$R,18,FALSE),"Not Found"))</f>
        <v/>
      </c>
      <c r="G522" t="str">
        <f>IF(D522="","",IFERROR(VLOOKUP(D522,csvratings!$A:$R,18,FALSE),"Not Found"))</f>
        <v/>
      </c>
      <c r="H522" s="4" t="str">
        <f t="shared" ca="1" si="9"/>
        <v/>
      </c>
    </row>
    <row r="523" spans="5:8">
      <c r="E523" t="str">
        <f>IF(B523="","",IFERROR(VLOOKUP(B523,csvratings!$A:$R,18,FALSE),"Not Found"))</f>
        <v/>
      </c>
      <c r="F523" t="str">
        <f>IF(C523="","",IFERROR(VLOOKUP(C523,csvratings!$A:$R,18,FALSE),"Not Found"))</f>
        <v/>
      </c>
      <c r="G523" t="str">
        <f>IF(D523="","",IFERROR(VLOOKUP(D523,csvratings!$A:$R,18,FALSE),"Not Found"))</f>
        <v/>
      </c>
      <c r="H523" s="4" t="str">
        <f t="shared" ca="1" si="9"/>
        <v/>
      </c>
    </row>
    <row r="524" spans="5:8">
      <c r="E524" t="str">
        <f>IF(B524="","",IFERROR(VLOOKUP(B524,csvratings!$A:$R,18,FALSE),"Not Found"))</f>
        <v/>
      </c>
      <c r="F524" t="str">
        <f>IF(C524="","",IFERROR(VLOOKUP(C524,csvratings!$A:$R,18,FALSE),"Not Found"))</f>
        <v/>
      </c>
      <c r="G524" t="str">
        <f>IF(D524="","",IFERROR(VLOOKUP(D524,csvratings!$A:$R,18,FALSE),"Not Found"))</f>
        <v/>
      </c>
      <c r="H524" s="4" t="str">
        <f t="shared" ca="1" si="9"/>
        <v/>
      </c>
    </row>
    <row r="525" spans="5:8">
      <c r="E525" t="str">
        <f>IF(B525="","",IFERROR(VLOOKUP(B525,csvratings!$A:$R,18,FALSE),"Not Found"))</f>
        <v/>
      </c>
      <c r="F525" t="str">
        <f>IF(C525="","",IFERROR(VLOOKUP(C525,csvratings!$A:$R,18,FALSE),"Not Found"))</f>
        <v/>
      </c>
      <c r="G525" t="str">
        <f>IF(D525="","",IFERROR(VLOOKUP(D525,csvratings!$A:$R,18,FALSE),"Not Found"))</f>
        <v/>
      </c>
      <c r="H525" s="4" t="str">
        <f t="shared" ca="1" si="9"/>
        <v/>
      </c>
    </row>
    <row r="526" spans="5:8">
      <c r="E526" t="str">
        <f>IF(B526="","",IFERROR(VLOOKUP(B526,csvratings!$A:$R,18,FALSE),"Not Found"))</f>
        <v/>
      </c>
      <c r="F526" t="str">
        <f>IF(C526="","",IFERROR(VLOOKUP(C526,csvratings!$A:$R,18,FALSE),"Not Found"))</f>
        <v/>
      </c>
      <c r="G526" t="str">
        <f>IF(D526="","",IFERROR(VLOOKUP(D526,csvratings!$A:$R,18,FALSE),"Not Found"))</f>
        <v/>
      </c>
      <c r="H526" s="4" t="str">
        <f t="shared" ca="1" si="9"/>
        <v/>
      </c>
    </row>
    <row r="527" spans="5:8">
      <c r="E527" t="str">
        <f>IF(B527="","",IFERROR(VLOOKUP(B527,csvratings!$A:$R,18,FALSE),"Not Found"))</f>
        <v/>
      </c>
      <c r="F527" t="str">
        <f>IF(C527="","",IFERROR(VLOOKUP(C527,csvratings!$A:$R,18,FALSE),"Not Found"))</f>
        <v/>
      </c>
      <c r="G527" t="str">
        <f>IF(D527="","",IFERROR(VLOOKUP(D527,csvratings!$A:$R,18,FALSE),"Not Found"))</f>
        <v/>
      </c>
      <c r="H527" s="4" t="str">
        <f t="shared" ca="1" si="9"/>
        <v/>
      </c>
    </row>
    <row r="528" spans="5:8">
      <c r="E528" t="str">
        <f>IF(B528="","",IFERROR(VLOOKUP(B528,csvratings!$A:$R,18,FALSE),"Not Found"))</f>
        <v/>
      </c>
      <c r="F528" t="str">
        <f>IF(C528="","",IFERROR(VLOOKUP(C528,csvratings!$A:$R,18,FALSE),"Not Found"))</f>
        <v/>
      </c>
      <c r="G528" t="str">
        <f>IF(D528="","",IFERROR(VLOOKUP(D528,csvratings!$A:$R,18,FALSE),"Not Found"))</f>
        <v/>
      </c>
      <c r="H528" s="4" t="str">
        <f t="shared" ca="1" si="9"/>
        <v/>
      </c>
    </row>
    <row r="529" spans="5:8">
      <c r="E529" t="str">
        <f>IF(B529="","",IFERROR(VLOOKUP(B529,csvratings!$A:$R,18,FALSE),"Not Found"))</f>
        <v/>
      </c>
      <c r="F529" t="str">
        <f>IF(C529="","",IFERROR(VLOOKUP(C529,csvratings!$A:$R,18,FALSE),"Not Found"))</f>
        <v/>
      </c>
      <c r="G529" t="str">
        <f>IF(D529="","",IFERROR(VLOOKUP(D529,csvratings!$A:$R,18,FALSE),"Not Found"))</f>
        <v/>
      </c>
      <c r="H529" s="4" t="str">
        <f t="shared" ca="1" si="9"/>
        <v/>
      </c>
    </row>
    <row r="530" spans="5:8">
      <c r="E530" t="str">
        <f>IF(B530="","",IFERROR(VLOOKUP(B530,csvratings!$A:$R,18,FALSE),"Not Found"))</f>
        <v/>
      </c>
      <c r="F530" t="str">
        <f>IF(C530="","",IFERROR(VLOOKUP(C530,csvratings!$A:$R,18,FALSE),"Not Found"))</f>
        <v/>
      </c>
      <c r="G530" t="str">
        <f>IF(D530="","",IFERROR(VLOOKUP(D530,csvratings!$A:$R,18,FALSE),"Not Found"))</f>
        <v/>
      </c>
      <c r="H530" s="4" t="str">
        <f t="shared" ca="1" si="9"/>
        <v/>
      </c>
    </row>
    <row r="531" spans="5:8">
      <c r="E531" t="str">
        <f>IF(B531="","",IFERROR(VLOOKUP(B531,csvratings!$A:$R,18,FALSE),"Not Found"))</f>
        <v/>
      </c>
      <c r="F531" t="str">
        <f>IF(C531="","",IFERROR(VLOOKUP(C531,csvratings!$A:$R,18,FALSE),"Not Found"))</f>
        <v/>
      </c>
      <c r="G531" t="str">
        <f>IF(D531="","",IFERROR(VLOOKUP(D531,csvratings!$A:$R,18,FALSE),"Not Found"))</f>
        <v/>
      </c>
      <c r="H531" s="4" t="str">
        <f t="shared" ca="1" si="9"/>
        <v/>
      </c>
    </row>
    <row r="532" spans="5:8">
      <c r="E532" t="str">
        <f>IF(B532="","",IFERROR(VLOOKUP(B532,csvratings!$A:$R,18,FALSE),"Not Found"))</f>
        <v/>
      </c>
      <c r="F532" t="str">
        <f>IF(C532="","",IFERROR(VLOOKUP(C532,csvratings!$A:$R,18,FALSE),"Not Found"))</f>
        <v/>
      </c>
      <c r="G532" t="str">
        <f>IF(D532="","",IFERROR(VLOOKUP(D532,csvratings!$A:$R,18,FALSE),"Not Found"))</f>
        <v/>
      </c>
      <c r="H532" s="4" t="str">
        <f t="shared" ca="1" si="9"/>
        <v/>
      </c>
    </row>
    <row r="533" spans="5:8">
      <c r="E533" t="str">
        <f>IF(B533="","",IFERROR(VLOOKUP(B533,csvratings!$A:$R,18,FALSE),"Not Found"))</f>
        <v/>
      </c>
      <c r="F533" t="str">
        <f>IF(C533="","",IFERROR(VLOOKUP(C533,csvratings!$A:$R,18,FALSE),"Not Found"))</f>
        <v/>
      </c>
      <c r="G533" t="str">
        <f>IF(D533="","",IFERROR(VLOOKUP(D533,csvratings!$A:$R,18,FALSE),"Not Found"))</f>
        <v/>
      </c>
      <c r="H533" s="4" t="str">
        <f t="shared" ca="1" si="9"/>
        <v/>
      </c>
    </row>
    <row r="534" spans="5:8">
      <c r="E534" t="str">
        <f>IF(B534="","",IFERROR(VLOOKUP(B534,csvratings!$A:$R,18,FALSE),"Not Found"))</f>
        <v/>
      </c>
      <c r="F534" t="str">
        <f>IF(C534="","",IFERROR(VLOOKUP(C534,csvratings!$A:$R,18,FALSE),"Not Found"))</f>
        <v/>
      </c>
      <c r="G534" t="str">
        <f>IF(D534="","",IFERROR(VLOOKUP(D534,csvratings!$A:$R,18,FALSE),"Not Found"))</f>
        <v/>
      </c>
      <c r="H534" s="4" t="str">
        <f t="shared" ca="1" si="9"/>
        <v/>
      </c>
    </row>
    <row r="535" spans="5:8">
      <c r="E535" t="str">
        <f>IF(B535="","",IFERROR(VLOOKUP(B535,csvratings!$A:$R,18,FALSE),"Not Found"))</f>
        <v/>
      </c>
      <c r="F535" t="str">
        <f>IF(C535="","",IFERROR(VLOOKUP(C535,csvratings!$A:$R,18,FALSE),"Not Found"))</f>
        <v/>
      </c>
      <c r="G535" t="str">
        <f>IF(D535="","",IFERROR(VLOOKUP(D535,csvratings!$A:$R,18,FALSE),"Not Found"))</f>
        <v/>
      </c>
      <c r="H535" s="4" t="str">
        <f t="shared" ca="1" si="9"/>
        <v/>
      </c>
    </row>
    <row r="536" spans="5:8">
      <c r="E536" t="str">
        <f>IF(B536="","",IFERROR(VLOOKUP(B536,csvratings!$A:$R,18,FALSE),"Not Found"))</f>
        <v/>
      </c>
      <c r="F536" t="str">
        <f>IF(C536="","",IFERROR(VLOOKUP(C536,csvratings!$A:$R,18,FALSE),"Not Found"))</f>
        <v/>
      </c>
      <c r="G536" t="str">
        <f>IF(D536="","",IFERROR(VLOOKUP(D536,csvratings!$A:$R,18,FALSE),"Not Found"))</f>
        <v/>
      </c>
      <c r="H536" s="4" t="str">
        <f t="shared" ca="1" si="9"/>
        <v/>
      </c>
    </row>
    <row r="537" spans="5:8">
      <c r="E537" t="str">
        <f>IF(B537="","",IFERROR(VLOOKUP(B537,csvratings!$A:$R,18,FALSE),"Not Found"))</f>
        <v/>
      </c>
      <c r="F537" t="str">
        <f>IF(C537="","",IFERROR(VLOOKUP(C537,csvratings!$A:$R,18,FALSE),"Not Found"))</f>
        <v/>
      </c>
      <c r="G537" t="str">
        <f>IF(D537="","",IFERROR(VLOOKUP(D537,csvratings!$A:$R,18,FALSE),"Not Found"))</f>
        <v/>
      </c>
      <c r="H537" s="4" t="str">
        <f t="shared" ca="1" si="9"/>
        <v/>
      </c>
    </row>
    <row r="538" spans="5:8">
      <c r="E538" t="str">
        <f>IF(B538="","",IFERROR(VLOOKUP(B538,csvratings!$A:$R,18,FALSE),"Not Found"))</f>
        <v/>
      </c>
      <c r="F538" t="str">
        <f>IF(C538="","",IFERROR(VLOOKUP(C538,csvratings!$A:$R,18,FALSE),"Not Found"))</f>
        <v/>
      </c>
      <c r="G538" t="str">
        <f>IF(D538="","",IFERROR(VLOOKUP(D538,csvratings!$A:$R,18,FALSE),"Not Found"))</f>
        <v/>
      </c>
      <c r="H538" s="4" t="str">
        <f t="shared" ca="1" si="9"/>
        <v/>
      </c>
    </row>
    <row r="539" spans="5:8">
      <c r="E539" t="str">
        <f>IF(B539="","",IFERROR(VLOOKUP(B539,csvratings!$A:$R,18,FALSE),"Not Found"))</f>
        <v/>
      </c>
      <c r="F539" t="str">
        <f>IF(C539="","",IFERROR(VLOOKUP(C539,csvratings!$A:$R,18,FALSE),"Not Found"))</f>
        <v/>
      </c>
      <c r="G539" t="str">
        <f>IF(D539="","",IFERROR(VLOOKUP(D539,csvratings!$A:$R,18,FALSE),"Not Found"))</f>
        <v/>
      </c>
      <c r="H539" s="4" t="str">
        <f t="shared" ca="1" si="9"/>
        <v/>
      </c>
    </row>
    <row r="540" spans="5:8">
      <c r="E540" t="str">
        <f>IF(B540="","",IFERROR(VLOOKUP(B540,csvratings!$A:$R,18,FALSE),"Not Found"))</f>
        <v/>
      </c>
      <c r="F540" t="str">
        <f>IF(C540="","",IFERROR(VLOOKUP(C540,csvratings!$A:$R,18,FALSE),"Not Found"))</f>
        <v/>
      </c>
      <c r="G540" t="str">
        <f>IF(D540="","",IFERROR(VLOOKUP(D540,csvratings!$A:$R,18,FALSE),"Not Found"))</f>
        <v/>
      </c>
      <c r="H540" s="4" t="str">
        <f t="shared" ca="1" si="9"/>
        <v/>
      </c>
    </row>
    <row r="541" spans="5:8">
      <c r="E541" t="str">
        <f>IF(B541="","",IFERROR(VLOOKUP(B541,csvratings!$A:$R,18,FALSE),"Not Found"))</f>
        <v/>
      </c>
      <c r="F541" t="str">
        <f>IF(C541="","",IFERROR(VLOOKUP(C541,csvratings!$A:$R,18,FALSE),"Not Found"))</f>
        <v/>
      </c>
      <c r="G541" t="str">
        <f>IF(D541="","",IFERROR(VLOOKUP(D541,csvratings!$A:$R,18,FALSE),"Not Found"))</f>
        <v/>
      </c>
      <c r="H541" s="4" t="str">
        <f t="shared" ca="1" si="9"/>
        <v/>
      </c>
    </row>
    <row r="542" spans="5:8">
      <c r="E542" t="str">
        <f>IF(B542="","",IFERROR(VLOOKUP(B542,csvratings!$A:$R,18,FALSE),"Not Found"))</f>
        <v/>
      </c>
      <c r="F542" t="str">
        <f>IF(C542="","",IFERROR(VLOOKUP(C542,csvratings!$A:$R,18,FALSE),"Not Found"))</f>
        <v/>
      </c>
      <c r="G542" t="str">
        <f>IF(D542="","",IFERROR(VLOOKUP(D542,csvratings!$A:$R,18,FALSE),"Not Found"))</f>
        <v/>
      </c>
      <c r="H542" s="4" t="str">
        <f t="shared" ca="1" si="9"/>
        <v/>
      </c>
    </row>
    <row r="543" spans="5:8">
      <c r="E543" t="str">
        <f>IF(B543="","",IFERROR(VLOOKUP(B543,csvratings!$A:$R,18,FALSE),"Not Found"))</f>
        <v/>
      </c>
      <c r="F543" t="str">
        <f>IF(C543="","",IFERROR(VLOOKUP(C543,csvratings!$A:$R,18,FALSE),"Not Found"))</f>
        <v/>
      </c>
      <c r="G543" t="str">
        <f>IF(D543="","",IFERROR(VLOOKUP(D543,csvratings!$A:$R,18,FALSE),"Not Found"))</f>
        <v/>
      </c>
      <c r="H543" s="4" t="str">
        <f t="shared" ca="1" si="9"/>
        <v/>
      </c>
    </row>
    <row r="544" spans="5:8">
      <c r="E544" t="str">
        <f>IF(B544="","",IFERROR(VLOOKUP(B544,csvratings!$A:$R,18,FALSE),"Not Found"))</f>
        <v/>
      </c>
      <c r="F544" t="str">
        <f>IF(C544="","",IFERROR(VLOOKUP(C544,csvratings!$A:$R,18,FALSE),"Not Found"))</f>
        <v/>
      </c>
      <c r="G544" t="str">
        <f>IF(D544="","",IFERROR(VLOOKUP(D544,csvratings!$A:$R,18,FALSE),"Not Found"))</f>
        <v/>
      </c>
      <c r="H544" s="4" t="str">
        <f t="shared" ca="1" si="9"/>
        <v/>
      </c>
    </row>
    <row r="545" spans="5:8">
      <c r="E545" t="str">
        <f>IF(B545="","",IFERROR(VLOOKUP(B545,csvratings!$A:$R,18,FALSE),"Not Found"))</f>
        <v/>
      </c>
      <c r="F545" t="str">
        <f>IF(C545="","",IFERROR(VLOOKUP(C545,csvratings!$A:$R,18,FALSE),"Not Found"))</f>
        <v/>
      </c>
      <c r="G545" t="str">
        <f>IF(D545="","",IFERROR(VLOOKUP(D545,csvratings!$A:$R,18,FALSE),"Not Found"))</f>
        <v/>
      </c>
      <c r="H545" s="4" t="str">
        <f t="shared" ca="1" si="9"/>
        <v/>
      </c>
    </row>
    <row r="546" spans="5:8">
      <c r="E546" t="str">
        <f>IF(B546="","",IFERROR(VLOOKUP(B546,csvratings!$A:$R,18,FALSE),"Not Found"))</f>
        <v/>
      </c>
      <c r="F546" t="str">
        <f>IF(C546="","",IFERROR(VLOOKUP(C546,csvratings!$A:$R,18,FALSE),"Not Found"))</f>
        <v/>
      </c>
      <c r="G546" t="str">
        <f>IF(D546="","",IFERROR(VLOOKUP(D546,csvratings!$A:$R,18,FALSE),"Not Found"))</f>
        <v/>
      </c>
      <c r="H546" s="4" t="str">
        <f t="shared" ca="1" si="9"/>
        <v/>
      </c>
    </row>
    <row r="547" spans="5:8">
      <c r="E547" t="str">
        <f>IF(B547="","",IFERROR(VLOOKUP(B547,csvratings!$A:$R,18,FALSE),"Not Found"))</f>
        <v/>
      </c>
      <c r="F547" t="str">
        <f>IF(C547="","",IFERROR(VLOOKUP(C547,csvratings!$A:$R,18,FALSE),"Not Found"))</f>
        <v/>
      </c>
      <c r="G547" t="str">
        <f>IF(D547="","",IFERROR(VLOOKUP(D547,csvratings!$A:$R,18,FALSE),"Not Found"))</f>
        <v/>
      </c>
      <c r="H547" s="4" t="str">
        <f t="shared" ca="1" si="9"/>
        <v/>
      </c>
    </row>
    <row r="548" spans="5:8">
      <c r="E548" t="str">
        <f>IF(B548="","",IFERROR(VLOOKUP(B548,csvratings!$A:$R,18,FALSE),"Not Found"))</f>
        <v/>
      </c>
      <c r="F548" t="str">
        <f>IF(C548="","",IFERROR(VLOOKUP(C548,csvratings!$A:$R,18,FALSE),"Not Found"))</f>
        <v/>
      </c>
      <c r="G548" t="str">
        <f>IF(D548="","",IFERROR(VLOOKUP(D548,csvratings!$A:$R,18,FALSE),"Not Found"))</f>
        <v/>
      </c>
      <c r="H548" s="4" t="str">
        <f t="shared" ca="1" si="9"/>
        <v/>
      </c>
    </row>
    <row r="549" spans="5:8">
      <c r="E549" t="str">
        <f>IF(B549="","",IFERROR(VLOOKUP(B549,csvratings!$A:$R,18,FALSE),"Not Found"))</f>
        <v/>
      </c>
      <c r="F549" t="str">
        <f>IF(C549="","",IFERROR(VLOOKUP(C549,csvratings!$A:$R,18,FALSE),"Not Found"))</f>
        <v/>
      </c>
      <c r="G549" t="str">
        <f>IF(D549="","",IFERROR(VLOOKUP(D549,csvratings!$A:$R,18,FALSE),"Not Found"))</f>
        <v/>
      </c>
      <c r="H549" s="4" t="str">
        <f t="shared" ca="1" si="9"/>
        <v/>
      </c>
    </row>
    <row r="550" spans="5:8">
      <c r="E550" t="str">
        <f>IF(B550="","",IFERROR(VLOOKUP(B550,csvratings!$A:$R,18,FALSE),"Not Found"))</f>
        <v/>
      </c>
      <c r="F550" t="str">
        <f>IF(C550="","",IFERROR(VLOOKUP(C550,csvratings!$A:$R,18,FALSE),"Not Found"))</f>
        <v/>
      </c>
      <c r="G550" t="str">
        <f>IF(D550="","",IFERROR(VLOOKUP(D550,csvratings!$A:$R,18,FALSE),"Not Found"))</f>
        <v/>
      </c>
      <c r="H550" s="4" t="str">
        <f t="shared" ca="1" si="9"/>
        <v/>
      </c>
    </row>
    <row r="551" spans="5:8">
      <c r="E551" t="str">
        <f>IF(B551="","",IFERROR(VLOOKUP(B551,csvratings!$A:$R,18,FALSE),"Not Found"))</f>
        <v/>
      </c>
      <c r="F551" t="str">
        <f>IF(C551="","",IFERROR(VLOOKUP(C551,csvratings!$A:$R,18,FALSE),"Not Found"))</f>
        <v/>
      </c>
      <c r="G551" t="str">
        <f>IF(D551="","",IFERROR(VLOOKUP(D551,csvratings!$A:$R,18,FALSE),"Not Found"))</f>
        <v/>
      </c>
      <c r="H551" s="4" t="str">
        <f t="shared" ca="1" si="9"/>
        <v/>
      </c>
    </row>
    <row r="552" spans="5:8">
      <c r="E552" t="str">
        <f>IF(B552="","",IFERROR(VLOOKUP(B552,csvratings!$A:$R,18,FALSE),"Not Found"))</f>
        <v/>
      </c>
      <c r="F552" t="str">
        <f>IF(C552="","",IFERROR(VLOOKUP(C552,csvratings!$A:$R,18,FALSE),"Not Found"))</f>
        <v/>
      </c>
      <c r="G552" t="str">
        <f>IF(D552="","",IFERROR(VLOOKUP(D552,csvratings!$A:$R,18,FALSE),"Not Found"))</f>
        <v/>
      </c>
      <c r="H552" s="4" t="str">
        <f t="shared" ca="1" si="9"/>
        <v/>
      </c>
    </row>
    <row r="553" spans="5:8">
      <c r="E553" t="str">
        <f>IF(B553="","",IFERROR(VLOOKUP(B553,csvratings!$A:$R,18,FALSE),"Not Found"))</f>
        <v/>
      </c>
      <c r="F553" t="str">
        <f>IF(C553="","",IFERROR(VLOOKUP(C553,csvratings!$A:$R,18,FALSE),"Not Found"))</f>
        <v/>
      </c>
      <c r="G553" t="str">
        <f>IF(D553="","",IFERROR(VLOOKUP(D553,csvratings!$A:$R,18,FALSE),"Not Found"))</f>
        <v/>
      </c>
      <c r="H553" s="4" t="str">
        <f t="shared" ca="1" si="9"/>
        <v/>
      </c>
    </row>
    <row r="554" spans="5:8">
      <c r="E554" t="str">
        <f>IF(B554="","",IFERROR(VLOOKUP(B554,csvratings!$A:$R,18,FALSE),"Not Found"))</f>
        <v/>
      </c>
      <c r="F554" t="str">
        <f>IF(C554="","",IFERROR(VLOOKUP(C554,csvratings!$A:$R,18,FALSE),"Not Found"))</f>
        <v/>
      </c>
      <c r="G554" t="str">
        <f>IF(D554="","",IFERROR(VLOOKUP(D554,csvratings!$A:$R,18,FALSE),"Not Found"))</f>
        <v/>
      </c>
      <c r="H554" s="4" t="str">
        <f t="shared" ca="1" si="9"/>
        <v/>
      </c>
    </row>
    <row r="555" spans="5:8">
      <c r="E555" t="str">
        <f>IF(B555="","",IFERROR(VLOOKUP(B555,csvratings!$A:$R,18,FALSE),"Not Found"))</f>
        <v/>
      </c>
      <c r="F555" t="str">
        <f>IF(C555="","",IFERROR(VLOOKUP(C555,csvratings!$A:$R,18,FALSE),"Not Found"))</f>
        <v/>
      </c>
      <c r="G555" t="str">
        <f>IF(D555="","",IFERROR(VLOOKUP(D555,csvratings!$A:$R,18,FALSE),"Not Found"))</f>
        <v/>
      </c>
      <c r="H555" s="4" t="str">
        <f t="shared" ca="1" si="9"/>
        <v/>
      </c>
    </row>
    <row r="556" spans="5:8">
      <c r="E556" t="str">
        <f>IF(B556="","",IFERROR(VLOOKUP(B556,csvratings!$A:$R,18,FALSE),"Not Found"))</f>
        <v/>
      </c>
      <c r="F556" t="str">
        <f>IF(C556="","",IFERROR(VLOOKUP(C556,csvratings!$A:$R,18,FALSE),"Not Found"))</f>
        <v/>
      </c>
      <c r="G556" t="str">
        <f>IF(D556="","",IFERROR(VLOOKUP(D556,csvratings!$A:$R,18,FALSE),"Not Found"))</f>
        <v/>
      </c>
      <c r="H556" s="4" t="str">
        <f t="shared" ca="1" si="9"/>
        <v/>
      </c>
    </row>
    <row r="557" spans="5:8">
      <c r="E557" t="str">
        <f>IF(B557="","",IFERROR(VLOOKUP(B557,csvratings!$A:$R,18,FALSE),"Not Found"))</f>
        <v/>
      </c>
      <c r="F557" t="str">
        <f>IF(C557="","",IFERROR(VLOOKUP(C557,csvratings!$A:$R,18,FALSE),"Not Found"))</f>
        <v/>
      </c>
      <c r="G557" t="str">
        <f>IF(D557="","",IFERROR(VLOOKUP(D557,csvratings!$A:$R,18,FALSE),"Not Found"))</f>
        <v/>
      </c>
      <c r="H557" s="4" t="str">
        <f t="shared" ca="1" si="9"/>
        <v/>
      </c>
    </row>
    <row r="558" spans="5:8">
      <c r="E558" t="str">
        <f>IF(B558="","",IFERROR(VLOOKUP(B558,csvratings!$A:$R,18,FALSE),"Not Found"))</f>
        <v/>
      </c>
      <c r="F558" t="str">
        <f>IF(C558="","",IFERROR(VLOOKUP(C558,csvratings!$A:$R,18,FALSE),"Not Found"))</f>
        <v/>
      </c>
      <c r="G558" t="str">
        <f>IF(D558="","",IFERROR(VLOOKUP(D558,csvratings!$A:$R,18,FALSE),"Not Found"))</f>
        <v/>
      </c>
      <c r="H558" s="4" t="str">
        <f t="shared" ca="1" si="9"/>
        <v/>
      </c>
    </row>
    <row r="559" spans="5:8">
      <c r="E559" t="str">
        <f>IF(B559="","",IFERROR(VLOOKUP(B559,csvratings!$A:$R,18,FALSE),"Not Found"))</f>
        <v/>
      </c>
      <c r="F559" t="str">
        <f>IF(C559="","",IFERROR(VLOOKUP(C559,csvratings!$A:$R,18,FALSE),"Not Found"))</f>
        <v/>
      </c>
      <c r="G559" t="str">
        <f>IF(D559="","",IFERROR(VLOOKUP(D559,csvratings!$A:$R,18,FALSE),"Not Found"))</f>
        <v/>
      </c>
      <c r="H559" s="4" t="str">
        <f t="shared" ca="1" si="9"/>
        <v/>
      </c>
    </row>
    <row r="560" spans="5:8">
      <c r="E560" t="str">
        <f>IF(B560="","",IFERROR(VLOOKUP(B560,csvratings!$A:$R,18,FALSE),"Not Found"))</f>
        <v/>
      </c>
      <c r="F560" t="str">
        <f>IF(C560="","",IFERROR(VLOOKUP(C560,csvratings!$A:$R,18,FALSE),"Not Found"))</f>
        <v/>
      </c>
      <c r="G560" t="str">
        <f>IF(D560="","",IFERROR(VLOOKUP(D560,csvratings!$A:$R,18,FALSE),"Not Found"))</f>
        <v/>
      </c>
      <c r="H560" s="4" t="str">
        <f t="shared" ca="1" si="9"/>
        <v/>
      </c>
    </row>
    <row r="561" spans="5:8">
      <c r="E561" t="str">
        <f>IF(B561="","",IFERROR(VLOOKUP(B561,csvratings!$A:$R,18,FALSE),"Not Found"))</f>
        <v/>
      </c>
      <c r="F561" t="str">
        <f>IF(C561="","",IFERROR(VLOOKUP(C561,csvratings!$A:$R,18,FALSE),"Not Found"))</f>
        <v/>
      </c>
      <c r="G561" t="str">
        <f>IF(D561="","",IFERROR(VLOOKUP(D561,csvratings!$A:$R,18,FALSE),"Not Found"))</f>
        <v/>
      </c>
      <c r="H561" s="4" t="str">
        <f t="shared" ca="1" si="9"/>
        <v/>
      </c>
    </row>
    <row r="562" spans="5:8">
      <c r="E562" t="str">
        <f>IF(B562="","",IFERROR(VLOOKUP(B562,csvratings!$A:$R,18,FALSE),"Not Found"))</f>
        <v/>
      </c>
      <c r="F562" t="str">
        <f>IF(C562="","",IFERROR(VLOOKUP(C562,csvratings!$A:$R,18,FALSE),"Not Found"))</f>
        <v/>
      </c>
      <c r="G562" t="str">
        <f>IF(D562="","",IFERROR(VLOOKUP(D562,csvratings!$A:$R,18,FALSE),"Not Found"))</f>
        <v/>
      </c>
      <c r="H562" s="4" t="str">
        <f t="shared" ca="1" si="9"/>
        <v/>
      </c>
    </row>
    <row r="563" spans="5:8">
      <c r="E563" t="str">
        <f>IF(B563="","",IFERROR(VLOOKUP(B563,csvratings!$A:$R,18,FALSE),"Not Found"))</f>
        <v/>
      </c>
      <c r="F563" t="str">
        <f>IF(C563="","",IFERROR(VLOOKUP(C563,csvratings!$A:$R,18,FALSE),"Not Found"))</f>
        <v/>
      </c>
      <c r="G563" t="str">
        <f>IF(D563="","",IFERROR(VLOOKUP(D563,csvratings!$A:$R,18,FALSE),"Not Found"))</f>
        <v/>
      </c>
      <c r="H563" s="4" t="str">
        <f t="shared" ca="1" si="9"/>
        <v/>
      </c>
    </row>
    <row r="564" spans="5:8">
      <c r="E564" t="str">
        <f>IF(B564="","",IFERROR(VLOOKUP(B564,csvratings!$A:$R,18,FALSE),"Not Found"))</f>
        <v/>
      </c>
      <c r="F564" t="str">
        <f>IF(C564="","",IFERROR(VLOOKUP(C564,csvratings!$A:$R,18,FALSE),"Not Found"))</f>
        <v/>
      </c>
      <c r="G564" t="str">
        <f>IF(D564="","",IFERROR(VLOOKUP(D564,csvratings!$A:$R,18,FALSE),"Not Found"))</f>
        <v/>
      </c>
      <c r="H564" s="4" t="str">
        <f t="shared" ca="1" si="9"/>
        <v/>
      </c>
    </row>
    <row r="565" spans="5:8">
      <c r="E565" t="str">
        <f>IF(B565="","",IFERROR(VLOOKUP(B565,csvratings!$A:$R,18,FALSE),"Not Found"))</f>
        <v/>
      </c>
      <c r="F565" t="str">
        <f>IF(C565="","",IFERROR(VLOOKUP(C565,csvratings!$A:$R,18,FALSE),"Not Found"))</f>
        <v/>
      </c>
      <c r="G565" t="str">
        <f>IF(D565="","",IFERROR(VLOOKUP(D565,csvratings!$A:$R,18,FALSE),"Not Found"))</f>
        <v/>
      </c>
      <c r="H565" s="4" t="str">
        <f t="shared" ca="1" si="9"/>
        <v/>
      </c>
    </row>
    <row r="566" spans="5:8">
      <c r="E566" t="str">
        <f>IF(B566="","",IFERROR(VLOOKUP(B566,csvratings!$A:$R,18,FALSE),"Not Found"))</f>
        <v/>
      </c>
      <c r="F566" t="str">
        <f>IF(C566="","",IFERROR(VLOOKUP(C566,csvratings!$A:$R,18,FALSE),"Not Found"))</f>
        <v/>
      </c>
      <c r="G566" t="str">
        <f>IF(D566="","",IFERROR(VLOOKUP(D566,csvratings!$A:$R,18,FALSE),"Not Found"))</f>
        <v/>
      </c>
      <c r="H566" s="4" t="str">
        <f t="shared" ca="1" si="9"/>
        <v/>
      </c>
    </row>
    <row r="567" spans="5:8">
      <c r="E567" t="str">
        <f>IF(B567="","",IFERROR(VLOOKUP(B567,csvratings!$A:$R,18,FALSE),"Not Found"))</f>
        <v/>
      </c>
      <c r="F567" t="str">
        <f>IF(C567="","",IFERROR(VLOOKUP(C567,csvratings!$A:$R,18,FALSE),"Not Found"))</f>
        <v/>
      </c>
      <c r="G567" t="str">
        <f>IF(D567="","",IFERROR(VLOOKUP(D567,csvratings!$A:$R,18,FALSE),"Not Found"))</f>
        <v/>
      </c>
      <c r="H567" s="4" t="str">
        <f t="shared" ca="1" si="9"/>
        <v/>
      </c>
    </row>
    <row r="568" spans="5:8">
      <c r="E568" t="str">
        <f>IF(B568="","",IFERROR(VLOOKUP(B568,csvratings!$A:$R,18,FALSE),"Not Found"))</f>
        <v/>
      </c>
      <c r="F568" t="str">
        <f>IF(C568="","",IFERROR(VLOOKUP(C568,csvratings!$A:$R,18,FALSE),"Not Found"))</f>
        <v/>
      </c>
      <c r="G568" t="str">
        <f>IF(D568="","",IFERROR(VLOOKUP(D568,csvratings!$A:$R,18,FALSE),"Not Found"))</f>
        <v/>
      </c>
      <c r="H568" s="4" t="str">
        <f t="shared" ca="1" si="9"/>
        <v/>
      </c>
    </row>
    <row r="569" spans="5:8">
      <c r="E569" t="str">
        <f>IF(B569="","",IFERROR(VLOOKUP(B569,csvratings!$A:$R,18,FALSE),"Not Found"))</f>
        <v/>
      </c>
      <c r="F569" t="str">
        <f>IF(C569="","",IFERROR(VLOOKUP(C569,csvratings!$A:$R,18,FALSE),"Not Found"))</f>
        <v/>
      </c>
      <c r="G569" t="str">
        <f>IF(D569="","",IFERROR(VLOOKUP(D569,csvratings!$A:$R,18,FALSE),"Not Found"))</f>
        <v/>
      </c>
      <c r="H569" s="4" t="str">
        <f t="shared" ca="1" si="9"/>
        <v/>
      </c>
    </row>
    <row r="570" spans="5:8">
      <c r="E570" t="str">
        <f>IF(B570="","",IFERROR(VLOOKUP(B570,csvratings!$A:$R,18,FALSE),"Not Found"))</f>
        <v/>
      </c>
      <c r="F570" t="str">
        <f>IF(C570="","",IFERROR(VLOOKUP(C570,csvratings!$A:$R,18,FALSE),"Not Found"))</f>
        <v/>
      </c>
      <c r="G570" t="str">
        <f>IF(D570="","",IFERROR(VLOOKUP(D570,csvratings!$A:$R,18,FALSE),"Not Found"))</f>
        <v/>
      </c>
      <c r="H570" s="4" t="str">
        <f t="shared" ca="1" si="9"/>
        <v/>
      </c>
    </row>
    <row r="571" spans="5:8">
      <c r="E571" t="str">
        <f>IF(B571="","",IFERROR(VLOOKUP(B571,csvratings!$A:$R,18,FALSE),"Not Found"))</f>
        <v/>
      </c>
      <c r="F571" t="str">
        <f>IF(C571="","",IFERROR(VLOOKUP(C571,csvratings!$A:$R,18,FALSE),"Not Found"))</f>
        <v/>
      </c>
      <c r="G571" t="str">
        <f>IF(D571="","",IFERROR(VLOOKUP(D571,csvratings!$A:$R,18,FALSE),"Not Found"))</f>
        <v/>
      </c>
      <c r="H571" s="4" t="str">
        <f t="shared" ca="1" si="9"/>
        <v/>
      </c>
    </row>
    <row r="572" spans="5:8">
      <c r="E572" t="str">
        <f>IF(B572="","",IFERROR(VLOOKUP(B572,csvratings!$A:$R,18,FALSE),"Not Found"))</f>
        <v/>
      </c>
      <c r="F572" t="str">
        <f>IF(C572="","",IFERROR(VLOOKUP(C572,csvratings!$A:$R,18,FALSE),"Not Found"))</f>
        <v/>
      </c>
      <c r="G572" t="str">
        <f>IF(D572="","",IFERROR(VLOOKUP(D572,csvratings!$A:$R,18,FALSE),"Not Found"))</f>
        <v/>
      </c>
      <c r="H572" s="4" t="str">
        <f t="shared" ca="1" si="9"/>
        <v/>
      </c>
    </row>
    <row r="573" spans="5:8">
      <c r="E573" t="str">
        <f>IF(B573="","",IFERROR(VLOOKUP(B573,csvratings!$A:$R,18,FALSE),"Not Found"))</f>
        <v/>
      </c>
      <c r="F573" t="str">
        <f>IF(C573="","",IFERROR(VLOOKUP(C573,csvratings!$A:$R,18,FALSE),"Not Found"))</f>
        <v/>
      </c>
      <c r="G573" t="str">
        <f>IF(D573="","",IFERROR(VLOOKUP(D573,csvratings!$A:$R,18,FALSE),"Not Found"))</f>
        <v/>
      </c>
      <c r="H573" s="4" t="str">
        <f t="shared" ca="1" si="9"/>
        <v/>
      </c>
    </row>
    <row r="574" spans="5:8">
      <c r="E574" t="str">
        <f>IF(B574="","",IFERROR(VLOOKUP(B574,csvratings!$A:$R,18,FALSE),"Not Found"))</f>
        <v/>
      </c>
      <c r="F574" t="str">
        <f>IF(C574="","",IFERROR(VLOOKUP(C574,csvratings!$A:$R,18,FALSE),"Not Found"))</f>
        <v/>
      </c>
      <c r="G574" t="str">
        <f>IF(D574="","",IFERROR(VLOOKUP(D574,csvratings!$A:$R,18,FALSE),"Not Found"))</f>
        <v/>
      </c>
      <c r="H574" s="4" t="str">
        <f t="shared" ca="1" si="9"/>
        <v/>
      </c>
    </row>
    <row r="575" spans="5:8">
      <c r="E575" t="str">
        <f>IF(B575="","",IFERROR(VLOOKUP(B575,csvratings!$A:$R,18,FALSE),"Not Found"))</f>
        <v/>
      </c>
      <c r="F575" t="str">
        <f>IF(C575="","",IFERROR(VLOOKUP(C575,csvratings!$A:$R,18,FALSE),"Not Found"))</f>
        <v/>
      </c>
      <c r="G575" t="str">
        <f>IF(D575="","",IFERROR(VLOOKUP(D575,csvratings!$A:$R,18,FALSE),"Not Found"))</f>
        <v/>
      </c>
      <c r="H575" s="4" t="str">
        <f t="shared" ca="1" si="9"/>
        <v/>
      </c>
    </row>
    <row r="576" spans="5:8">
      <c r="E576" t="str">
        <f>IF(B576="","",IFERROR(VLOOKUP(B576,csvratings!$A:$R,18,FALSE),"Not Found"))</f>
        <v/>
      </c>
      <c r="F576" t="str">
        <f>IF(C576="","",IFERROR(VLOOKUP(C576,csvratings!$A:$R,18,FALSE),"Not Found"))</f>
        <v/>
      </c>
      <c r="G576" t="str">
        <f>IF(D576="","",IFERROR(VLOOKUP(D576,csvratings!$A:$R,18,FALSE),"Not Found"))</f>
        <v/>
      </c>
      <c r="H576" s="4" t="str">
        <f t="shared" ca="1" si="9"/>
        <v/>
      </c>
    </row>
    <row r="577" spans="5:8">
      <c r="E577" t="str">
        <f>IF(B577="","",IFERROR(VLOOKUP(B577,csvratings!$A:$R,18,FALSE),"Not Found"))</f>
        <v/>
      </c>
      <c r="F577" t="str">
        <f>IF(C577="","",IFERROR(VLOOKUP(C577,csvratings!$A:$R,18,FALSE),"Not Found"))</f>
        <v/>
      </c>
      <c r="G577" t="str">
        <f>IF(D577="","",IFERROR(VLOOKUP(D577,csvratings!$A:$R,18,FALSE),"Not Found"))</f>
        <v/>
      </c>
      <c r="H577" s="4" t="str">
        <f t="shared" ca="1" si="9"/>
        <v/>
      </c>
    </row>
    <row r="578" spans="5:8">
      <c r="E578" t="str">
        <f>IF(B578="","",IFERROR(VLOOKUP(B578,csvratings!$A:$R,18,FALSE),"Not Found"))</f>
        <v/>
      </c>
      <c r="F578" t="str">
        <f>IF(C578="","",IFERROR(VLOOKUP(C578,csvratings!$A:$R,18,FALSE),"Not Found"))</f>
        <v/>
      </c>
      <c r="G578" t="str">
        <f>IF(D578="","",IFERROR(VLOOKUP(D578,csvratings!$A:$R,18,FALSE),"Not Found"))</f>
        <v/>
      </c>
      <c r="H578" s="4" t="str">
        <f t="shared" ca="1" si="9"/>
        <v/>
      </c>
    </row>
    <row r="579" spans="5:8">
      <c r="E579" t="str">
        <f>IF(B579="","",IFERROR(VLOOKUP(B579,csvratings!$A:$R,18,FALSE),"Not Found"))</f>
        <v/>
      </c>
      <c r="F579" t="str">
        <f>IF(C579="","",IFERROR(VLOOKUP(C579,csvratings!$A:$R,18,FALSE),"Not Found"))</f>
        <v/>
      </c>
      <c r="G579" t="str">
        <f>IF(D579="","",IFERROR(VLOOKUP(D579,csvratings!$A:$R,18,FALSE),"Not Found"))</f>
        <v/>
      </c>
      <c r="H579" s="4" t="str">
        <f t="shared" ref="H579:H642" ca="1" si="10">IF(AND(B579&lt;&gt;"",C579&lt;&gt;"",D579&lt;&gt;""),TODAY(),"")</f>
        <v/>
      </c>
    </row>
    <row r="580" spans="5:8">
      <c r="E580" t="str">
        <f>IF(B580="","",IFERROR(VLOOKUP(B580,csvratings!$A:$R,18,FALSE),"Not Found"))</f>
        <v/>
      </c>
      <c r="F580" t="str">
        <f>IF(C580="","",IFERROR(VLOOKUP(C580,csvratings!$A:$R,18,FALSE),"Not Found"))</f>
        <v/>
      </c>
      <c r="G580" t="str">
        <f>IF(D580="","",IFERROR(VLOOKUP(D580,csvratings!$A:$R,18,FALSE),"Not Found"))</f>
        <v/>
      </c>
      <c r="H580" s="4" t="str">
        <f t="shared" ca="1" si="10"/>
        <v/>
      </c>
    </row>
    <row r="581" spans="5:8">
      <c r="E581" t="str">
        <f>IF(B581="","",IFERROR(VLOOKUP(B581,csvratings!$A:$R,18,FALSE),"Not Found"))</f>
        <v/>
      </c>
      <c r="F581" t="str">
        <f>IF(C581="","",IFERROR(VLOOKUP(C581,csvratings!$A:$R,18,FALSE),"Not Found"))</f>
        <v/>
      </c>
      <c r="G581" t="str">
        <f>IF(D581="","",IFERROR(VLOOKUP(D581,csvratings!$A:$R,18,FALSE),"Not Found"))</f>
        <v/>
      </c>
      <c r="H581" s="4" t="str">
        <f t="shared" ca="1" si="10"/>
        <v/>
      </c>
    </row>
    <row r="582" spans="5:8">
      <c r="E582" t="str">
        <f>IF(B582="","",IFERROR(VLOOKUP(B582,csvratings!$A:$R,18,FALSE),"Not Found"))</f>
        <v/>
      </c>
      <c r="F582" t="str">
        <f>IF(C582="","",IFERROR(VLOOKUP(C582,csvratings!$A:$R,18,FALSE),"Not Found"))</f>
        <v/>
      </c>
      <c r="G582" t="str">
        <f>IF(D582="","",IFERROR(VLOOKUP(D582,csvratings!$A:$R,18,FALSE),"Not Found"))</f>
        <v/>
      </c>
      <c r="H582" s="4" t="str">
        <f t="shared" ca="1" si="10"/>
        <v/>
      </c>
    </row>
    <row r="583" spans="5:8">
      <c r="E583" t="str">
        <f>IF(B583="","",IFERROR(VLOOKUP(B583,csvratings!$A:$R,18,FALSE),"Not Found"))</f>
        <v/>
      </c>
      <c r="F583" t="str">
        <f>IF(C583="","",IFERROR(VLOOKUP(C583,csvratings!$A:$R,18,FALSE),"Not Found"))</f>
        <v/>
      </c>
      <c r="G583" t="str">
        <f>IF(D583="","",IFERROR(VLOOKUP(D583,csvratings!$A:$R,18,FALSE),"Not Found"))</f>
        <v/>
      </c>
      <c r="H583" s="4" t="str">
        <f t="shared" ca="1" si="10"/>
        <v/>
      </c>
    </row>
    <row r="584" spans="5:8">
      <c r="E584" t="str">
        <f>IF(B584="","",IFERROR(VLOOKUP(B584,csvratings!$A:$R,18,FALSE),"Not Found"))</f>
        <v/>
      </c>
      <c r="F584" t="str">
        <f>IF(C584="","",IFERROR(VLOOKUP(C584,csvratings!$A:$R,18,FALSE),"Not Found"))</f>
        <v/>
      </c>
      <c r="G584" t="str">
        <f>IF(D584="","",IFERROR(VLOOKUP(D584,csvratings!$A:$R,18,FALSE),"Not Found"))</f>
        <v/>
      </c>
      <c r="H584" s="4" t="str">
        <f t="shared" ca="1" si="10"/>
        <v/>
      </c>
    </row>
    <row r="585" spans="5:8">
      <c r="E585" t="str">
        <f>IF(B585="","",IFERROR(VLOOKUP(B585,csvratings!$A:$R,18,FALSE),"Not Found"))</f>
        <v/>
      </c>
      <c r="F585" t="str">
        <f>IF(C585="","",IFERROR(VLOOKUP(C585,csvratings!$A:$R,18,FALSE),"Not Found"))</f>
        <v/>
      </c>
      <c r="G585" t="str">
        <f>IF(D585="","",IFERROR(VLOOKUP(D585,csvratings!$A:$R,18,FALSE),"Not Found"))</f>
        <v/>
      </c>
      <c r="H585" s="4" t="str">
        <f t="shared" ca="1" si="10"/>
        <v/>
      </c>
    </row>
    <row r="586" spans="5:8">
      <c r="E586" t="str">
        <f>IF(B586="","",IFERROR(VLOOKUP(B586,csvratings!$A:$R,18,FALSE),"Not Found"))</f>
        <v/>
      </c>
      <c r="F586" t="str">
        <f>IF(C586="","",IFERROR(VLOOKUP(C586,csvratings!$A:$R,18,FALSE),"Not Found"))</f>
        <v/>
      </c>
      <c r="G586" t="str">
        <f>IF(D586="","",IFERROR(VLOOKUP(D586,csvratings!$A:$R,18,FALSE),"Not Found"))</f>
        <v/>
      </c>
      <c r="H586" s="4" t="str">
        <f t="shared" ca="1" si="10"/>
        <v/>
      </c>
    </row>
    <row r="587" spans="5:8">
      <c r="E587" t="str">
        <f>IF(B587="","",IFERROR(VLOOKUP(B587,csvratings!$A:$R,18,FALSE),"Not Found"))</f>
        <v/>
      </c>
      <c r="F587" t="str">
        <f>IF(C587="","",IFERROR(VLOOKUP(C587,csvratings!$A:$R,18,FALSE),"Not Found"))</f>
        <v/>
      </c>
      <c r="G587" t="str">
        <f>IF(D587="","",IFERROR(VLOOKUP(D587,csvratings!$A:$R,18,FALSE),"Not Found"))</f>
        <v/>
      </c>
      <c r="H587" s="4" t="str">
        <f t="shared" ca="1" si="10"/>
        <v/>
      </c>
    </row>
    <row r="588" spans="5:8">
      <c r="E588" t="str">
        <f>IF(B588="","",IFERROR(VLOOKUP(B588,csvratings!$A:$R,18,FALSE),"Not Found"))</f>
        <v/>
      </c>
      <c r="F588" t="str">
        <f>IF(C588="","",IFERROR(VLOOKUP(C588,csvratings!$A:$R,18,FALSE),"Not Found"))</f>
        <v/>
      </c>
      <c r="G588" t="str">
        <f>IF(D588="","",IFERROR(VLOOKUP(D588,csvratings!$A:$R,18,FALSE),"Not Found"))</f>
        <v/>
      </c>
      <c r="H588" s="4" t="str">
        <f t="shared" ca="1" si="10"/>
        <v/>
      </c>
    </row>
    <row r="589" spans="5:8">
      <c r="E589" t="str">
        <f>IF(B589="","",IFERROR(VLOOKUP(B589,csvratings!$A:$R,18,FALSE),"Not Found"))</f>
        <v/>
      </c>
      <c r="F589" t="str">
        <f>IF(C589="","",IFERROR(VLOOKUP(C589,csvratings!$A:$R,18,FALSE),"Not Found"))</f>
        <v/>
      </c>
      <c r="G589" t="str">
        <f>IF(D589="","",IFERROR(VLOOKUP(D589,csvratings!$A:$R,18,FALSE),"Not Found"))</f>
        <v/>
      </c>
      <c r="H589" s="4" t="str">
        <f t="shared" ca="1" si="10"/>
        <v/>
      </c>
    </row>
    <row r="590" spans="5:8">
      <c r="E590" t="str">
        <f>IF(B590="","",IFERROR(VLOOKUP(B590,csvratings!$A:$R,18,FALSE),"Not Found"))</f>
        <v/>
      </c>
      <c r="F590" t="str">
        <f>IF(C590="","",IFERROR(VLOOKUP(C590,csvratings!$A:$R,18,FALSE),"Not Found"))</f>
        <v/>
      </c>
      <c r="G590" t="str">
        <f>IF(D590="","",IFERROR(VLOOKUP(D590,csvratings!$A:$R,18,FALSE),"Not Found"))</f>
        <v/>
      </c>
      <c r="H590" s="4" t="str">
        <f t="shared" ca="1" si="10"/>
        <v/>
      </c>
    </row>
    <row r="591" spans="5:8">
      <c r="E591" t="str">
        <f>IF(B591="","",IFERROR(VLOOKUP(B591,csvratings!$A:$R,18,FALSE),"Not Found"))</f>
        <v/>
      </c>
      <c r="F591" t="str">
        <f>IF(C591="","",IFERROR(VLOOKUP(C591,csvratings!$A:$R,18,FALSE),"Not Found"))</f>
        <v/>
      </c>
      <c r="G591" t="str">
        <f>IF(D591="","",IFERROR(VLOOKUP(D591,csvratings!$A:$R,18,FALSE),"Not Found"))</f>
        <v/>
      </c>
      <c r="H591" s="4" t="str">
        <f t="shared" ca="1" si="10"/>
        <v/>
      </c>
    </row>
    <row r="592" spans="5:8">
      <c r="E592" t="str">
        <f>IF(B592="","",IFERROR(VLOOKUP(B592,csvratings!$A:$R,18,FALSE),"Not Found"))</f>
        <v/>
      </c>
      <c r="F592" t="str">
        <f>IF(C592="","",IFERROR(VLOOKUP(C592,csvratings!$A:$R,18,FALSE),"Not Found"))</f>
        <v/>
      </c>
      <c r="G592" t="str">
        <f>IF(D592="","",IFERROR(VLOOKUP(D592,csvratings!$A:$R,18,FALSE),"Not Found"))</f>
        <v/>
      </c>
      <c r="H592" s="4" t="str">
        <f t="shared" ca="1" si="10"/>
        <v/>
      </c>
    </row>
    <row r="593" spans="5:8">
      <c r="E593" t="str">
        <f>IF(B593="","",IFERROR(VLOOKUP(B593,csvratings!$A:$R,18,FALSE),"Not Found"))</f>
        <v/>
      </c>
      <c r="F593" t="str">
        <f>IF(C593="","",IFERROR(VLOOKUP(C593,csvratings!$A:$R,18,FALSE),"Not Found"))</f>
        <v/>
      </c>
      <c r="G593" t="str">
        <f>IF(D593="","",IFERROR(VLOOKUP(D593,csvratings!$A:$R,18,FALSE),"Not Found"))</f>
        <v/>
      </c>
      <c r="H593" s="4" t="str">
        <f t="shared" ca="1" si="10"/>
        <v/>
      </c>
    </row>
    <row r="594" spans="5:8">
      <c r="E594" t="str">
        <f>IF(B594="","",IFERROR(VLOOKUP(B594,csvratings!$A:$R,18,FALSE),"Not Found"))</f>
        <v/>
      </c>
      <c r="F594" t="str">
        <f>IF(C594="","",IFERROR(VLOOKUP(C594,csvratings!$A:$R,18,FALSE),"Not Found"))</f>
        <v/>
      </c>
      <c r="G594" t="str">
        <f>IF(D594="","",IFERROR(VLOOKUP(D594,csvratings!$A:$R,18,FALSE),"Not Found"))</f>
        <v/>
      </c>
      <c r="H594" s="4" t="str">
        <f t="shared" ca="1" si="10"/>
        <v/>
      </c>
    </row>
    <row r="595" spans="5:8">
      <c r="E595" t="str">
        <f>IF(B595="","",IFERROR(VLOOKUP(B595,csvratings!$A:$R,18,FALSE),"Not Found"))</f>
        <v/>
      </c>
      <c r="F595" t="str">
        <f>IF(C595="","",IFERROR(VLOOKUP(C595,csvratings!$A:$R,18,FALSE),"Not Found"))</f>
        <v/>
      </c>
      <c r="G595" t="str">
        <f>IF(D595="","",IFERROR(VLOOKUP(D595,csvratings!$A:$R,18,FALSE),"Not Found"))</f>
        <v/>
      </c>
      <c r="H595" s="4" t="str">
        <f t="shared" ca="1" si="10"/>
        <v/>
      </c>
    </row>
    <row r="596" spans="5:8">
      <c r="E596" t="str">
        <f>IF(B596="","",IFERROR(VLOOKUP(B596,csvratings!$A:$R,18,FALSE),"Not Found"))</f>
        <v/>
      </c>
      <c r="F596" t="str">
        <f>IF(C596="","",IFERROR(VLOOKUP(C596,csvratings!$A:$R,18,FALSE),"Not Found"))</f>
        <v/>
      </c>
      <c r="G596" t="str">
        <f>IF(D596="","",IFERROR(VLOOKUP(D596,csvratings!$A:$R,18,FALSE),"Not Found"))</f>
        <v/>
      </c>
      <c r="H596" s="4" t="str">
        <f t="shared" ca="1" si="10"/>
        <v/>
      </c>
    </row>
    <row r="597" spans="5:8">
      <c r="E597" t="str">
        <f>IF(B597="","",IFERROR(VLOOKUP(B597,csvratings!$A:$R,18,FALSE),"Not Found"))</f>
        <v/>
      </c>
      <c r="F597" t="str">
        <f>IF(C597="","",IFERROR(VLOOKUP(C597,csvratings!$A:$R,18,FALSE),"Not Found"))</f>
        <v/>
      </c>
      <c r="G597" t="str">
        <f>IF(D597="","",IFERROR(VLOOKUP(D597,csvratings!$A:$R,18,FALSE),"Not Found"))</f>
        <v/>
      </c>
      <c r="H597" s="4" t="str">
        <f t="shared" ca="1" si="10"/>
        <v/>
      </c>
    </row>
    <row r="598" spans="5:8">
      <c r="E598" t="str">
        <f>IF(B598="","",IFERROR(VLOOKUP(B598,csvratings!$A:$R,18,FALSE),"Not Found"))</f>
        <v/>
      </c>
      <c r="F598" t="str">
        <f>IF(C598="","",IFERROR(VLOOKUP(C598,csvratings!$A:$R,18,FALSE),"Not Found"))</f>
        <v/>
      </c>
      <c r="G598" t="str">
        <f>IF(D598="","",IFERROR(VLOOKUP(D598,csvratings!$A:$R,18,FALSE),"Not Found"))</f>
        <v/>
      </c>
      <c r="H598" s="4" t="str">
        <f t="shared" ca="1" si="10"/>
        <v/>
      </c>
    </row>
    <row r="599" spans="5:8">
      <c r="E599" t="str">
        <f>IF(B599="","",IFERROR(VLOOKUP(B599,csvratings!$A:$R,18,FALSE),"Not Found"))</f>
        <v/>
      </c>
      <c r="F599" t="str">
        <f>IF(C599="","",IFERROR(VLOOKUP(C599,csvratings!$A:$R,18,FALSE),"Not Found"))</f>
        <v/>
      </c>
      <c r="G599" t="str">
        <f>IF(D599="","",IFERROR(VLOOKUP(D599,csvratings!$A:$R,18,FALSE),"Not Found"))</f>
        <v/>
      </c>
      <c r="H599" s="4" t="str">
        <f t="shared" ca="1" si="10"/>
        <v/>
      </c>
    </row>
    <row r="600" spans="5:8">
      <c r="E600" t="str">
        <f>IF(B600="","",IFERROR(VLOOKUP(B600,csvratings!$A:$R,18,FALSE),"Not Found"))</f>
        <v/>
      </c>
      <c r="F600" t="str">
        <f>IF(C600="","",IFERROR(VLOOKUP(C600,csvratings!$A:$R,18,FALSE),"Not Found"))</f>
        <v/>
      </c>
      <c r="G600" t="str">
        <f>IF(D600="","",IFERROR(VLOOKUP(D600,csvratings!$A:$R,18,FALSE),"Not Found"))</f>
        <v/>
      </c>
      <c r="H600" s="4" t="str">
        <f t="shared" ca="1" si="10"/>
        <v/>
      </c>
    </row>
    <row r="601" spans="5:8">
      <c r="E601" t="str">
        <f>IF(B601="","",IFERROR(VLOOKUP(B601,csvratings!$A:$R,18,FALSE),"Not Found"))</f>
        <v/>
      </c>
      <c r="F601" t="str">
        <f>IF(C601="","",IFERROR(VLOOKUP(C601,csvratings!$A:$R,18,FALSE),"Not Found"))</f>
        <v/>
      </c>
      <c r="G601" t="str">
        <f>IF(D601="","",IFERROR(VLOOKUP(D601,csvratings!$A:$R,18,FALSE),"Not Found"))</f>
        <v/>
      </c>
      <c r="H601" s="4" t="str">
        <f t="shared" ca="1" si="10"/>
        <v/>
      </c>
    </row>
    <row r="602" spans="5:8">
      <c r="E602" t="str">
        <f>IF(B602="","",IFERROR(VLOOKUP(B602,csvratings!$A:$R,18,FALSE),"Not Found"))</f>
        <v/>
      </c>
      <c r="F602" t="str">
        <f>IF(C602="","",IFERROR(VLOOKUP(C602,csvratings!$A:$R,18,FALSE),"Not Found"))</f>
        <v/>
      </c>
      <c r="G602" t="str">
        <f>IF(D602="","",IFERROR(VLOOKUP(D602,csvratings!$A:$R,18,FALSE),"Not Found"))</f>
        <v/>
      </c>
      <c r="H602" s="4" t="str">
        <f t="shared" ca="1" si="10"/>
        <v/>
      </c>
    </row>
    <row r="603" spans="5:8">
      <c r="E603" t="str">
        <f>IF(B603="","",IFERROR(VLOOKUP(B603,csvratings!$A:$R,18,FALSE),"Not Found"))</f>
        <v/>
      </c>
      <c r="F603" t="str">
        <f>IF(C603="","",IFERROR(VLOOKUP(C603,csvratings!$A:$R,18,FALSE),"Not Found"))</f>
        <v/>
      </c>
      <c r="G603" t="str">
        <f>IF(D603="","",IFERROR(VLOOKUP(D603,csvratings!$A:$R,18,FALSE),"Not Found"))</f>
        <v/>
      </c>
      <c r="H603" s="4" t="str">
        <f t="shared" ca="1" si="10"/>
        <v/>
      </c>
    </row>
    <row r="604" spans="5:8">
      <c r="E604" t="str">
        <f>IF(B604="","",IFERROR(VLOOKUP(B604,csvratings!$A:$R,18,FALSE),"Not Found"))</f>
        <v/>
      </c>
      <c r="F604" t="str">
        <f>IF(C604="","",IFERROR(VLOOKUP(C604,csvratings!$A:$R,18,FALSE),"Not Found"))</f>
        <v/>
      </c>
      <c r="G604" t="str">
        <f>IF(D604="","",IFERROR(VLOOKUP(D604,csvratings!$A:$R,18,FALSE),"Not Found"))</f>
        <v/>
      </c>
      <c r="H604" s="4" t="str">
        <f t="shared" ca="1" si="10"/>
        <v/>
      </c>
    </row>
    <row r="605" spans="5:8">
      <c r="E605" t="str">
        <f>IF(B605="","",IFERROR(VLOOKUP(B605,csvratings!$A:$R,18,FALSE),"Not Found"))</f>
        <v/>
      </c>
      <c r="F605" t="str">
        <f>IF(C605="","",IFERROR(VLOOKUP(C605,csvratings!$A:$R,18,FALSE),"Not Found"))</f>
        <v/>
      </c>
      <c r="G605" t="str">
        <f>IF(D605="","",IFERROR(VLOOKUP(D605,csvratings!$A:$R,18,FALSE),"Not Found"))</f>
        <v/>
      </c>
      <c r="H605" s="4" t="str">
        <f t="shared" ca="1" si="10"/>
        <v/>
      </c>
    </row>
    <row r="606" spans="5:8">
      <c r="E606" t="str">
        <f>IF(B606="","",IFERROR(VLOOKUP(B606,csvratings!$A:$R,18,FALSE),"Not Found"))</f>
        <v/>
      </c>
      <c r="F606" t="str">
        <f>IF(C606="","",IFERROR(VLOOKUP(C606,csvratings!$A:$R,18,FALSE),"Not Found"))</f>
        <v/>
      </c>
      <c r="G606" t="str">
        <f>IF(D606="","",IFERROR(VLOOKUP(D606,csvratings!$A:$R,18,FALSE),"Not Found"))</f>
        <v/>
      </c>
      <c r="H606" s="4" t="str">
        <f t="shared" ca="1" si="10"/>
        <v/>
      </c>
    </row>
    <row r="607" spans="5:8">
      <c r="E607" t="str">
        <f>IF(B607="","",IFERROR(VLOOKUP(B607,csvratings!$A:$R,18,FALSE),"Not Found"))</f>
        <v/>
      </c>
      <c r="F607" t="str">
        <f>IF(C607="","",IFERROR(VLOOKUP(C607,csvratings!$A:$R,18,FALSE),"Not Found"))</f>
        <v/>
      </c>
      <c r="G607" t="str">
        <f>IF(D607="","",IFERROR(VLOOKUP(D607,csvratings!$A:$R,18,FALSE),"Not Found"))</f>
        <v/>
      </c>
      <c r="H607" s="4" t="str">
        <f t="shared" ca="1" si="10"/>
        <v/>
      </c>
    </row>
    <row r="608" spans="5:8">
      <c r="E608" t="str">
        <f>IF(B608="","",IFERROR(VLOOKUP(B608,csvratings!$A:$R,18,FALSE),"Not Found"))</f>
        <v/>
      </c>
      <c r="F608" t="str">
        <f>IF(C608="","",IFERROR(VLOOKUP(C608,csvratings!$A:$R,18,FALSE),"Not Found"))</f>
        <v/>
      </c>
      <c r="G608" t="str">
        <f>IF(D608="","",IFERROR(VLOOKUP(D608,csvratings!$A:$R,18,FALSE),"Not Found"))</f>
        <v/>
      </c>
      <c r="H608" s="4" t="str">
        <f t="shared" ca="1" si="10"/>
        <v/>
      </c>
    </row>
    <row r="609" spans="5:8">
      <c r="E609" t="str">
        <f>IF(B609="","",IFERROR(VLOOKUP(B609,csvratings!$A:$R,18,FALSE),"Not Found"))</f>
        <v/>
      </c>
      <c r="F609" t="str">
        <f>IF(C609="","",IFERROR(VLOOKUP(C609,csvratings!$A:$R,18,FALSE),"Not Found"))</f>
        <v/>
      </c>
      <c r="G609" t="str">
        <f>IF(D609="","",IFERROR(VLOOKUP(D609,csvratings!$A:$R,18,FALSE),"Not Found"))</f>
        <v/>
      </c>
      <c r="H609" s="4" t="str">
        <f t="shared" ca="1" si="10"/>
        <v/>
      </c>
    </row>
    <row r="610" spans="5:8">
      <c r="E610" t="str">
        <f>IF(B610="","",IFERROR(VLOOKUP(B610,csvratings!$A:$R,18,FALSE),"Not Found"))</f>
        <v/>
      </c>
      <c r="F610" t="str">
        <f>IF(C610="","",IFERROR(VLOOKUP(C610,csvratings!$A:$R,18,FALSE),"Not Found"))</f>
        <v/>
      </c>
      <c r="G610" t="str">
        <f>IF(D610="","",IFERROR(VLOOKUP(D610,csvratings!$A:$R,18,FALSE),"Not Found"))</f>
        <v/>
      </c>
      <c r="H610" s="4" t="str">
        <f t="shared" ca="1" si="10"/>
        <v/>
      </c>
    </row>
    <row r="611" spans="5:8">
      <c r="E611" t="str">
        <f>IF(B611="","",IFERROR(VLOOKUP(B611,csvratings!$A:$R,18,FALSE),"Not Found"))</f>
        <v/>
      </c>
      <c r="F611" t="str">
        <f>IF(C611="","",IFERROR(VLOOKUP(C611,csvratings!$A:$R,18,FALSE),"Not Found"))</f>
        <v/>
      </c>
      <c r="G611" t="str">
        <f>IF(D611="","",IFERROR(VLOOKUP(D611,csvratings!$A:$R,18,FALSE),"Not Found"))</f>
        <v/>
      </c>
      <c r="H611" s="4" t="str">
        <f t="shared" ca="1" si="10"/>
        <v/>
      </c>
    </row>
    <row r="612" spans="5:8">
      <c r="E612" t="str">
        <f>IF(B612="","",IFERROR(VLOOKUP(B612,csvratings!$A:$R,18,FALSE),"Not Found"))</f>
        <v/>
      </c>
      <c r="F612" t="str">
        <f>IF(C612="","",IFERROR(VLOOKUP(C612,csvratings!$A:$R,18,FALSE),"Not Found"))</f>
        <v/>
      </c>
      <c r="G612" t="str">
        <f>IF(D612="","",IFERROR(VLOOKUP(D612,csvratings!$A:$R,18,FALSE),"Not Found"))</f>
        <v/>
      </c>
      <c r="H612" s="4" t="str">
        <f t="shared" ca="1" si="10"/>
        <v/>
      </c>
    </row>
    <row r="613" spans="5:8">
      <c r="E613" t="str">
        <f>IF(B613="","",IFERROR(VLOOKUP(B613,csvratings!$A:$R,18,FALSE),"Not Found"))</f>
        <v/>
      </c>
      <c r="F613" t="str">
        <f>IF(C613="","",IFERROR(VLOOKUP(C613,csvratings!$A:$R,18,FALSE),"Not Found"))</f>
        <v/>
      </c>
      <c r="G613" t="str">
        <f>IF(D613="","",IFERROR(VLOOKUP(D613,csvratings!$A:$R,18,FALSE),"Not Found"))</f>
        <v/>
      </c>
      <c r="H613" s="4" t="str">
        <f t="shared" ca="1" si="10"/>
        <v/>
      </c>
    </row>
    <row r="614" spans="5:8">
      <c r="E614" t="str">
        <f>IF(B614="","",IFERROR(VLOOKUP(B614,csvratings!$A:$R,18,FALSE),"Not Found"))</f>
        <v/>
      </c>
      <c r="F614" t="str">
        <f>IF(C614="","",IFERROR(VLOOKUP(C614,csvratings!$A:$R,18,FALSE),"Not Found"))</f>
        <v/>
      </c>
      <c r="G614" t="str">
        <f>IF(D614="","",IFERROR(VLOOKUP(D614,csvratings!$A:$R,18,FALSE),"Not Found"))</f>
        <v/>
      </c>
      <c r="H614" s="4" t="str">
        <f t="shared" ca="1" si="10"/>
        <v/>
      </c>
    </row>
    <row r="615" spans="5:8">
      <c r="E615" t="str">
        <f>IF(B615="","",IFERROR(VLOOKUP(B615,csvratings!$A:$R,18,FALSE),"Not Found"))</f>
        <v/>
      </c>
      <c r="F615" t="str">
        <f>IF(C615="","",IFERROR(VLOOKUP(C615,csvratings!$A:$R,18,FALSE),"Not Found"))</f>
        <v/>
      </c>
      <c r="G615" t="str">
        <f>IF(D615="","",IFERROR(VLOOKUP(D615,csvratings!$A:$R,18,FALSE),"Not Found"))</f>
        <v/>
      </c>
      <c r="H615" s="4" t="str">
        <f t="shared" ca="1" si="10"/>
        <v/>
      </c>
    </row>
    <row r="616" spans="5:8">
      <c r="E616" t="str">
        <f>IF(B616="","",IFERROR(VLOOKUP(B616,csvratings!$A:$R,18,FALSE),"Not Found"))</f>
        <v/>
      </c>
      <c r="F616" t="str">
        <f>IF(C616="","",IFERROR(VLOOKUP(C616,csvratings!$A:$R,18,FALSE),"Not Found"))</f>
        <v/>
      </c>
      <c r="G616" t="str">
        <f>IF(D616="","",IFERROR(VLOOKUP(D616,csvratings!$A:$R,18,FALSE),"Not Found"))</f>
        <v/>
      </c>
      <c r="H616" s="4" t="str">
        <f t="shared" ca="1" si="10"/>
        <v/>
      </c>
    </row>
    <row r="617" spans="5:8">
      <c r="E617" t="str">
        <f>IF(B617="","",IFERROR(VLOOKUP(B617,csvratings!$A:$R,18,FALSE),"Not Found"))</f>
        <v/>
      </c>
      <c r="F617" t="str">
        <f>IF(C617="","",IFERROR(VLOOKUP(C617,csvratings!$A:$R,18,FALSE),"Not Found"))</f>
        <v/>
      </c>
      <c r="G617" t="str">
        <f>IF(D617="","",IFERROR(VLOOKUP(D617,csvratings!$A:$R,18,FALSE),"Not Found"))</f>
        <v/>
      </c>
      <c r="H617" s="4" t="str">
        <f t="shared" ca="1" si="10"/>
        <v/>
      </c>
    </row>
    <row r="618" spans="5:8">
      <c r="E618" t="str">
        <f>IF(B618="","",IFERROR(VLOOKUP(B618,csvratings!$A:$R,18,FALSE),"Not Found"))</f>
        <v/>
      </c>
      <c r="F618" t="str">
        <f>IF(C618="","",IFERROR(VLOOKUP(C618,csvratings!$A:$R,18,FALSE),"Not Found"))</f>
        <v/>
      </c>
      <c r="G618" t="str">
        <f>IF(D618="","",IFERROR(VLOOKUP(D618,csvratings!$A:$R,18,FALSE),"Not Found"))</f>
        <v/>
      </c>
      <c r="H618" s="4" t="str">
        <f t="shared" ca="1" si="10"/>
        <v/>
      </c>
    </row>
    <row r="619" spans="5:8">
      <c r="E619" t="str">
        <f>IF(B619="","",IFERROR(VLOOKUP(B619,csvratings!$A:$R,18,FALSE),"Not Found"))</f>
        <v/>
      </c>
      <c r="F619" t="str">
        <f>IF(C619="","",IFERROR(VLOOKUP(C619,csvratings!$A:$R,18,FALSE),"Not Found"))</f>
        <v/>
      </c>
      <c r="G619" t="str">
        <f>IF(D619="","",IFERROR(VLOOKUP(D619,csvratings!$A:$R,18,FALSE),"Not Found"))</f>
        <v/>
      </c>
      <c r="H619" s="4" t="str">
        <f t="shared" ca="1" si="10"/>
        <v/>
      </c>
    </row>
    <row r="620" spans="5:8">
      <c r="E620" t="str">
        <f>IF(B620="","",IFERROR(VLOOKUP(B620,csvratings!$A:$R,18,FALSE),"Not Found"))</f>
        <v/>
      </c>
      <c r="F620" t="str">
        <f>IF(C620="","",IFERROR(VLOOKUP(C620,csvratings!$A:$R,18,FALSE),"Not Found"))</f>
        <v/>
      </c>
      <c r="G620" t="str">
        <f>IF(D620="","",IFERROR(VLOOKUP(D620,csvratings!$A:$R,18,FALSE),"Not Found"))</f>
        <v/>
      </c>
      <c r="H620" s="4" t="str">
        <f t="shared" ca="1" si="10"/>
        <v/>
      </c>
    </row>
    <row r="621" spans="5:8">
      <c r="E621" t="str">
        <f>IF(B621="","",IFERROR(VLOOKUP(B621,csvratings!$A:$R,18,FALSE),"Not Found"))</f>
        <v/>
      </c>
      <c r="F621" t="str">
        <f>IF(C621="","",IFERROR(VLOOKUP(C621,csvratings!$A:$R,18,FALSE),"Not Found"))</f>
        <v/>
      </c>
      <c r="G621" t="str">
        <f>IF(D621="","",IFERROR(VLOOKUP(D621,csvratings!$A:$R,18,FALSE),"Not Found"))</f>
        <v/>
      </c>
      <c r="H621" s="4" t="str">
        <f t="shared" ca="1" si="10"/>
        <v/>
      </c>
    </row>
    <row r="622" spans="5:8">
      <c r="E622" t="str">
        <f>IF(B622="","",IFERROR(VLOOKUP(B622,csvratings!$A:$R,18,FALSE),"Not Found"))</f>
        <v/>
      </c>
      <c r="F622" t="str">
        <f>IF(C622="","",IFERROR(VLOOKUP(C622,csvratings!$A:$R,18,FALSE),"Not Found"))</f>
        <v/>
      </c>
      <c r="G622" t="str">
        <f>IF(D622="","",IFERROR(VLOOKUP(D622,csvratings!$A:$R,18,FALSE),"Not Found"))</f>
        <v/>
      </c>
      <c r="H622" s="4" t="str">
        <f t="shared" ca="1" si="10"/>
        <v/>
      </c>
    </row>
    <row r="623" spans="5:8">
      <c r="E623" t="str">
        <f>IF(B623="","",IFERROR(VLOOKUP(B623,csvratings!$A:$R,18,FALSE),"Not Found"))</f>
        <v/>
      </c>
      <c r="F623" t="str">
        <f>IF(C623="","",IFERROR(VLOOKUP(C623,csvratings!$A:$R,18,FALSE),"Not Found"))</f>
        <v/>
      </c>
      <c r="G623" t="str">
        <f>IF(D623="","",IFERROR(VLOOKUP(D623,csvratings!$A:$R,18,FALSE),"Not Found"))</f>
        <v/>
      </c>
      <c r="H623" s="4" t="str">
        <f t="shared" ca="1" si="10"/>
        <v/>
      </c>
    </row>
    <row r="624" spans="5:8">
      <c r="E624" t="str">
        <f>IF(B624="","",IFERROR(VLOOKUP(B624,csvratings!$A:$R,18,FALSE),"Not Found"))</f>
        <v/>
      </c>
      <c r="F624" t="str">
        <f>IF(C624="","",IFERROR(VLOOKUP(C624,csvratings!$A:$R,18,FALSE),"Not Found"))</f>
        <v/>
      </c>
      <c r="G624" t="str">
        <f>IF(D624="","",IFERROR(VLOOKUP(D624,csvratings!$A:$R,18,FALSE),"Not Found"))</f>
        <v/>
      </c>
      <c r="H624" s="4" t="str">
        <f t="shared" ca="1" si="10"/>
        <v/>
      </c>
    </row>
    <row r="625" spans="5:8">
      <c r="E625" t="str">
        <f>IF(B625="","",IFERROR(VLOOKUP(B625,csvratings!$A:$R,18,FALSE),"Not Found"))</f>
        <v/>
      </c>
      <c r="F625" t="str">
        <f>IF(C625="","",IFERROR(VLOOKUP(C625,csvratings!$A:$R,18,FALSE),"Not Found"))</f>
        <v/>
      </c>
      <c r="G625" t="str">
        <f>IF(D625="","",IFERROR(VLOOKUP(D625,csvratings!$A:$R,18,FALSE),"Not Found"))</f>
        <v/>
      </c>
      <c r="H625" s="4" t="str">
        <f t="shared" ca="1" si="10"/>
        <v/>
      </c>
    </row>
    <row r="626" spans="5:8">
      <c r="E626" t="str">
        <f>IF(B626="","",IFERROR(VLOOKUP(B626,csvratings!$A:$R,18,FALSE),"Not Found"))</f>
        <v/>
      </c>
      <c r="F626" t="str">
        <f>IF(C626="","",IFERROR(VLOOKUP(C626,csvratings!$A:$R,18,FALSE),"Not Found"))</f>
        <v/>
      </c>
      <c r="G626" t="str">
        <f>IF(D626="","",IFERROR(VLOOKUP(D626,csvratings!$A:$R,18,FALSE),"Not Found"))</f>
        <v/>
      </c>
      <c r="H626" s="4" t="str">
        <f t="shared" ca="1" si="10"/>
        <v/>
      </c>
    </row>
    <row r="627" spans="5:8">
      <c r="E627" t="str">
        <f>IF(B627="","",IFERROR(VLOOKUP(B627,csvratings!$A:$R,18,FALSE),"Not Found"))</f>
        <v/>
      </c>
      <c r="F627" t="str">
        <f>IF(C627="","",IFERROR(VLOOKUP(C627,csvratings!$A:$R,18,FALSE),"Not Found"))</f>
        <v/>
      </c>
      <c r="G627" t="str">
        <f>IF(D627="","",IFERROR(VLOOKUP(D627,csvratings!$A:$R,18,FALSE),"Not Found"))</f>
        <v/>
      </c>
      <c r="H627" s="4" t="str">
        <f t="shared" ca="1" si="10"/>
        <v/>
      </c>
    </row>
    <row r="628" spans="5:8">
      <c r="E628" t="str">
        <f>IF(B628="","",IFERROR(VLOOKUP(B628,csvratings!$A:$R,18,FALSE),"Not Found"))</f>
        <v/>
      </c>
      <c r="F628" t="str">
        <f>IF(C628="","",IFERROR(VLOOKUP(C628,csvratings!$A:$R,18,FALSE),"Not Found"))</f>
        <v/>
      </c>
      <c r="G628" t="str">
        <f>IF(D628="","",IFERROR(VLOOKUP(D628,csvratings!$A:$R,18,FALSE),"Not Found"))</f>
        <v/>
      </c>
      <c r="H628" s="4" t="str">
        <f t="shared" ca="1" si="10"/>
        <v/>
      </c>
    </row>
    <row r="629" spans="5:8">
      <c r="E629" t="str">
        <f>IF(B629="","",IFERROR(VLOOKUP(B629,csvratings!$A:$R,18,FALSE),"Not Found"))</f>
        <v/>
      </c>
      <c r="F629" t="str">
        <f>IF(C629="","",IFERROR(VLOOKUP(C629,csvratings!$A:$R,18,FALSE),"Not Found"))</f>
        <v/>
      </c>
      <c r="G629" t="str">
        <f>IF(D629="","",IFERROR(VLOOKUP(D629,csvratings!$A:$R,18,FALSE),"Not Found"))</f>
        <v/>
      </c>
      <c r="H629" s="4" t="str">
        <f t="shared" ca="1" si="10"/>
        <v/>
      </c>
    </row>
    <row r="630" spans="5:8">
      <c r="E630" t="str">
        <f>IF(B630="","",IFERROR(VLOOKUP(B630,csvratings!$A:$R,18,FALSE),"Not Found"))</f>
        <v/>
      </c>
      <c r="F630" t="str">
        <f>IF(C630="","",IFERROR(VLOOKUP(C630,csvratings!$A:$R,18,FALSE),"Not Found"))</f>
        <v/>
      </c>
      <c r="G630" t="str">
        <f>IF(D630="","",IFERROR(VLOOKUP(D630,csvratings!$A:$R,18,FALSE),"Not Found"))</f>
        <v/>
      </c>
      <c r="H630" s="4" t="str">
        <f t="shared" ca="1" si="10"/>
        <v/>
      </c>
    </row>
    <row r="631" spans="5:8">
      <c r="E631" t="str">
        <f>IF(B631="","",IFERROR(VLOOKUP(B631,csvratings!$A:$R,18,FALSE),"Not Found"))</f>
        <v/>
      </c>
      <c r="F631" t="str">
        <f>IF(C631="","",IFERROR(VLOOKUP(C631,csvratings!$A:$R,18,FALSE),"Not Found"))</f>
        <v/>
      </c>
      <c r="G631" t="str">
        <f>IF(D631="","",IFERROR(VLOOKUP(D631,csvratings!$A:$R,18,FALSE),"Not Found"))</f>
        <v/>
      </c>
      <c r="H631" s="4" t="str">
        <f t="shared" ca="1" si="10"/>
        <v/>
      </c>
    </row>
    <row r="632" spans="5:8">
      <c r="E632" t="str">
        <f>IF(B632="","",IFERROR(VLOOKUP(B632,csvratings!$A:$R,18,FALSE),"Not Found"))</f>
        <v/>
      </c>
      <c r="F632" t="str">
        <f>IF(C632="","",IFERROR(VLOOKUP(C632,csvratings!$A:$R,18,FALSE),"Not Found"))</f>
        <v/>
      </c>
      <c r="G632" t="str">
        <f>IF(D632="","",IFERROR(VLOOKUP(D632,csvratings!$A:$R,18,FALSE),"Not Found"))</f>
        <v/>
      </c>
      <c r="H632" s="4" t="str">
        <f t="shared" ca="1" si="10"/>
        <v/>
      </c>
    </row>
    <row r="633" spans="5:8">
      <c r="E633" t="str">
        <f>IF(B633="","",IFERROR(VLOOKUP(B633,csvratings!$A:$R,18,FALSE),"Not Found"))</f>
        <v/>
      </c>
      <c r="F633" t="str">
        <f>IF(C633="","",IFERROR(VLOOKUP(C633,csvratings!$A:$R,18,FALSE),"Not Found"))</f>
        <v/>
      </c>
      <c r="G633" t="str">
        <f>IF(D633="","",IFERROR(VLOOKUP(D633,csvratings!$A:$R,18,FALSE),"Not Found"))</f>
        <v/>
      </c>
      <c r="H633" s="4" t="str">
        <f t="shared" ca="1" si="10"/>
        <v/>
      </c>
    </row>
    <row r="634" spans="5:8">
      <c r="E634" t="str">
        <f>IF(B634="","",IFERROR(VLOOKUP(B634,csvratings!$A:$R,18,FALSE),"Not Found"))</f>
        <v/>
      </c>
      <c r="F634" t="str">
        <f>IF(C634="","",IFERROR(VLOOKUP(C634,csvratings!$A:$R,18,FALSE),"Not Found"))</f>
        <v/>
      </c>
      <c r="G634" t="str">
        <f>IF(D634="","",IFERROR(VLOOKUP(D634,csvratings!$A:$R,18,FALSE),"Not Found"))</f>
        <v/>
      </c>
      <c r="H634" s="4" t="str">
        <f t="shared" ca="1" si="10"/>
        <v/>
      </c>
    </row>
    <row r="635" spans="5:8">
      <c r="E635" t="str">
        <f>IF(B635="","",IFERROR(VLOOKUP(B635,csvratings!$A:$R,18,FALSE),"Not Found"))</f>
        <v/>
      </c>
      <c r="F635" t="str">
        <f>IF(C635="","",IFERROR(VLOOKUP(C635,csvratings!$A:$R,18,FALSE),"Not Found"))</f>
        <v/>
      </c>
      <c r="G635" t="str">
        <f>IF(D635="","",IFERROR(VLOOKUP(D635,csvratings!$A:$R,18,FALSE),"Not Found"))</f>
        <v/>
      </c>
      <c r="H635" s="4" t="str">
        <f t="shared" ca="1" si="10"/>
        <v/>
      </c>
    </row>
    <row r="636" spans="5:8">
      <c r="E636" t="str">
        <f>IF(B636="","",IFERROR(VLOOKUP(B636,csvratings!$A:$R,18,FALSE),"Not Found"))</f>
        <v/>
      </c>
      <c r="F636" t="str">
        <f>IF(C636="","",IFERROR(VLOOKUP(C636,csvratings!$A:$R,18,FALSE),"Not Found"))</f>
        <v/>
      </c>
      <c r="G636" t="str">
        <f>IF(D636="","",IFERROR(VLOOKUP(D636,csvratings!$A:$R,18,FALSE),"Not Found"))</f>
        <v/>
      </c>
      <c r="H636" s="4" t="str">
        <f t="shared" ca="1" si="10"/>
        <v/>
      </c>
    </row>
    <row r="637" spans="5:8">
      <c r="E637" t="str">
        <f>IF(B637="","",IFERROR(VLOOKUP(B637,csvratings!$A:$R,18,FALSE),"Not Found"))</f>
        <v/>
      </c>
      <c r="F637" t="str">
        <f>IF(C637="","",IFERROR(VLOOKUP(C637,csvratings!$A:$R,18,FALSE),"Not Found"))</f>
        <v/>
      </c>
      <c r="G637" t="str">
        <f>IF(D637="","",IFERROR(VLOOKUP(D637,csvratings!$A:$R,18,FALSE),"Not Found"))</f>
        <v/>
      </c>
      <c r="H637" s="4" t="str">
        <f t="shared" ca="1" si="10"/>
        <v/>
      </c>
    </row>
    <row r="638" spans="5:8">
      <c r="E638" t="str">
        <f>IF(B638="","",IFERROR(VLOOKUP(B638,csvratings!$A:$R,18,FALSE),"Not Found"))</f>
        <v/>
      </c>
      <c r="F638" t="str">
        <f>IF(C638="","",IFERROR(VLOOKUP(C638,csvratings!$A:$R,18,FALSE),"Not Found"))</f>
        <v/>
      </c>
      <c r="G638" t="str">
        <f>IF(D638="","",IFERROR(VLOOKUP(D638,csvratings!$A:$R,18,FALSE),"Not Found"))</f>
        <v/>
      </c>
      <c r="H638" s="4" t="str">
        <f t="shared" ca="1" si="10"/>
        <v/>
      </c>
    </row>
    <row r="639" spans="5:8">
      <c r="E639" t="str">
        <f>IF(B639="","",IFERROR(VLOOKUP(B639,csvratings!$A:$R,18,FALSE),"Not Found"))</f>
        <v/>
      </c>
      <c r="F639" t="str">
        <f>IF(C639="","",IFERROR(VLOOKUP(C639,csvratings!$A:$R,18,FALSE),"Not Found"))</f>
        <v/>
      </c>
      <c r="G639" t="str">
        <f>IF(D639="","",IFERROR(VLOOKUP(D639,csvratings!$A:$R,18,FALSE),"Not Found"))</f>
        <v/>
      </c>
      <c r="H639" s="4" t="str">
        <f t="shared" ca="1" si="10"/>
        <v/>
      </c>
    </row>
    <row r="640" spans="5:8">
      <c r="E640" t="str">
        <f>IF(B640="","",IFERROR(VLOOKUP(B640,csvratings!$A:$R,18,FALSE),"Not Found"))</f>
        <v/>
      </c>
      <c r="F640" t="str">
        <f>IF(C640="","",IFERROR(VLOOKUP(C640,csvratings!$A:$R,18,FALSE),"Not Found"))</f>
        <v/>
      </c>
      <c r="G640" t="str">
        <f>IF(D640="","",IFERROR(VLOOKUP(D640,csvratings!$A:$R,18,FALSE),"Not Found"))</f>
        <v/>
      </c>
      <c r="H640" s="4" t="str">
        <f t="shared" ca="1" si="10"/>
        <v/>
      </c>
    </row>
    <row r="641" spans="5:8">
      <c r="E641" t="str">
        <f>IF(B641="","",IFERROR(VLOOKUP(B641,csvratings!$A:$R,18,FALSE),"Not Found"))</f>
        <v/>
      </c>
      <c r="F641" t="str">
        <f>IF(C641="","",IFERROR(VLOOKUP(C641,csvratings!$A:$R,18,FALSE),"Not Found"))</f>
        <v/>
      </c>
      <c r="G641" t="str">
        <f>IF(D641="","",IFERROR(VLOOKUP(D641,csvratings!$A:$R,18,FALSE),"Not Found"))</f>
        <v/>
      </c>
      <c r="H641" s="4" t="str">
        <f t="shared" ca="1" si="10"/>
        <v/>
      </c>
    </row>
    <row r="642" spans="5:8">
      <c r="E642" t="str">
        <f>IF(B642="","",IFERROR(VLOOKUP(B642,csvratings!$A:$R,18,FALSE),"Not Found"))</f>
        <v/>
      </c>
      <c r="F642" t="str">
        <f>IF(C642="","",IFERROR(VLOOKUP(C642,csvratings!$A:$R,18,FALSE),"Not Found"))</f>
        <v/>
      </c>
      <c r="G642" t="str">
        <f>IF(D642="","",IFERROR(VLOOKUP(D642,csvratings!$A:$R,18,FALSE),"Not Found"))</f>
        <v/>
      </c>
      <c r="H642" s="4" t="str">
        <f t="shared" ca="1" si="10"/>
        <v/>
      </c>
    </row>
    <row r="643" spans="5:8">
      <c r="E643" t="str">
        <f>IF(B643="","",IFERROR(VLOOKUP(B643,csvratings!$A:$R,18,FALSE),"Not Found"))</f>
        <v/>
      </c>
      <c r="F643" t="str">
        <f>IF(C643="","",IFERROR(VLOOKUP(C643,csvratings!$A:$R,18,FALSE),"Not Found"))</f>
        <v/>
      </c>
      <c r="G643" t="str">
        <f>IF(D643="","",IFERROR(VLOOKUP(D643,csvratings!$A:$R,18,FALSE),"Not Found"))</f>
        <v/>
      </c>
      <c r="H643" s="4" t="str">
        <f t="shared" ref="H643:H688" ca="1" si="11">IF(AND(B643&lt;&gt;"",C643&lt;&gt;"",D643&lt;&gt;""),TODAY(),"")</f>
        <v/>
      </c>
    </row>
    <row r="644" spans="5:8">
      <c r="E644" t="str">
        <f>IF(B644="","",IFERROR(VLOOKUP(B644,csvratings!$A:$R,18,FALSE),"Not Found"))</f>
        <v/>
      </c>
      <c r="F644" t="str">
        <f>IF(C644="","",IFERROR(VLOOKUP(C644,csvratings!$A:$R,18,FALSE),"Not Found"))</f>
        <v/>
      </c>
      <c r="G644" t="str">
        <f>IF(D644="","",IFERROR(VLOOKUP(D644,csvratings!$A:$R,18,FALSE),"Not Found"))</f>
        <v/>
      </c>
      <c r="H644" s="4" t="str">
        <f t="shared" ca="1" si="11"/>
        <v/>
      </c>
    </row>
    <row r="645" spans="5:8">
      <c r="E645" t="str">
        <f>IF(B645="","",IFERROR(VLOOKUP(B645,csvratings!$A:$R,18,FALSE),"Not Found"))</f>
        <v/>
      </c>
      <c r="F645" t="str">
        <f>IF(C645="","",IFERROR(VLOOKUP(C645,csvratings!$A:$R,18,FALSE),"Not Found"))</f>
        <v/>
      </c>
      <c r="G645" t="str">
        <f>IF(D645="","",IFERROR(VLOOKUP(D645,csvratings!$A:$R,18,FALSE),"Not Found"))</f>
        <v/>
      </c>
      <c r="H645" s="4" t="str">
        <f t="shared" ca="1" si="11"/>
        <v/>
      </c>
    </row>
    <row r="646" spans="5:8">
      <c r="E646" t="str">
        <f>IF(B646="","",IFERROR(VLOOKUP(B646,csvratings!$A:$R,18,FALSE),"Not Found"))</f>
        <v/>
      </c>
      <c r="F646" t="str">
        <f>IF(C646="","",IFERROR(VLOOKUP(C646,csvratings!$A:$R,18,FALSE),"Not Found"))</f>
        <v/>
      </c>
      <c r="G646" t="str">
        <f>IF(D646="","",IFERROR(VLOOKUP(D646,csvratings!$A:$R,18,FALSE),"Not Found"))</f>
        <v/>
      </c>
      <c r="H646" s="4" t="str">
        <f t="shared" ca="1" si="11"/>
        <v/>
      </c>
    </row>
    <row r="647" spans="5:8">
      <c r="E647" t="str">
        <f>IF(B647="","",IFERROR(VLOOKUP(B647,csvratings!$A:$R,18,FALSE),"Not Found"))</f>
        <v/>
      </c>
      <c r="F647" t="str">
        <f>IF(C647="","",IFERROR(VLOOKUP(C647,csvratings!$A:$R,18,FALSE),"Not Found"))</f>
        <v/>
      </c>
      <c r="G647" t="str">
        <f>IF(D647="","",IFERROR(VLOOKUP(D647,csvratings!$A:$R,18,FALSE),"Not Found"))</f>
        <v/>
      </c>
      <c r="H647" s="4" t="str">
        <f t="shared" ca="1" si="11"/>
        <v/>
      </c>
    </row>
    <row r="648" spans="5:8">
      <c r="E648" t="str">
        <f>IF(B648="","",IFERROR(VLOOKUP(B648,csvratings!$A:$R,18,FALSE),"Not Found"))</f>
        <v/>
      </c>
      <c r="F648" t="str">
        <f>IF(C648="","",IFERROR(VLOOKUP(C648,csvratings!$A:$R,18,FALSE),"Not Found"))</f>
        <v/>
      </c>
      <c r="G648" t="str">
        <f>IF(D648="","",IFERROR(VLOOKUP(D648,csvratings!$A:$R,18,FALSE),"Not Found"))</f>
        <v/>
      </c>
      <c r="H648" s="4" t="str">
        <f t="shared" ca="1" si="11"/>
        <v/>
      </c>
    </row>
    <row r="649" spans="5:8">
      <c r="E649" t="str">
        <f>IF(B649="","",IFERROR(VLOOKUP(B649,csvratings!$A:$R,18,FALSE),"Not Found"))</f>
        <v/>
      </c>
      <c r="F649" t="str">
        <f>IF(C649="","",IFERROR(VLOOKUP(C649,csvratings!$A:$R,18,FALSE),"Not Found"))</f>
        <v/>
      </c>
      <c r="G649" t="str">
        <f>IF(D649="","",IFERROR(VLOOKUP(D649,csvratings!$A:$R,18,FALSE),"Not Found"))</f>
        <v/>
      </c>
      <c r="H649" s="4" t="str">
        <f t="shared" ca="1" si="11"/>
        <v/>
      </c>
    </row>
    <row r="650" spans="5:8">
      <c r="E650" t="str">
        <f>IF(B650="","",IFERROR(VLOOKUP(B650,csvratings!$A:$R,18,FALSE),"Not Found"))</f>
        <v/>
      </c>
      <c r="F650" t="str">
        <f>IF(C650="","",IFERROR(VLOOKUP(C650,csvratings!$A:$R,18,FALSE),"Not Found"))</f>
        <v/>
      </c>
      <c r="G650" t="str">
        <f>IF(D650="","",IFERROR(VLOOKUP(D650,csvratings!$A:$R,18,FALSE),"Not Found"))</f>
        <v/>
      </c>
      <c r="H650" s="4" t="str">
        <f t="shared" ca="1" si="11"/>
        <v/>
      </c>
    </row>
    <row r="651" spans="5:8">
      <c r="E651" t="str">
        <f>IF(B651="","",IFERROR(VLOOKUP(B651,csvratings!$A:$R,18,FALSE),"Not Found"))</f>
        <v/>
      </c>
      <c r="F651" t="str">
        <f>IF(C651="","",IFERROR(VLOOKUP(C651,csvratings!$A:$R,18,FALSE),"Not Found"))</f>
        <v/>
      </c>
      <c r="G651" t="str">
        <f>IF(D651="","",IFERROR(VLOOKUP(D651,csvratings!$A:$R,18,FALSE),"Not Found"))</f>
        <v/>
      </c>
      <c r="H651" s="4" t="str">
        <f t="shared" ca="1" si="11"/>
        <v/>
      </c>
    </row>
    <row r="652" spans="5:8">
      <c r="E652" t="str">
        <f>IF(B652="","",IFERROR(VLOOKUP(B652,csvratings!$A:$R,18,FALSE),"Not Found"))</f>
        <v/>
      </c>
      <c r="F652" t="str">
        <f>IF(C652="","",IFERROR(VLOOKUP(C652,csvratings!$A:$R,18,FALSE),"Not Found"))</f>
        <v/>
      </c>
      <c r="G652" t="str">
        <f>IF(D652="","",IFERROR(VLOOKUP(D652,csvratings!$A:$R,18,FALSE),"Not Found"))</f>
        <v/>
      </c>
      <c r="H652" s="4" t="str">
        <f t="shared" ca="1" si="11"/>
        <v/>
      </c>
    </row>
    <row r="653" spans="5:8">
      <c r="E653" t="str">
        <f>IF(B653="","",IFERROR(VLOOKUP(B653,csvratings!$A:$R,18,FALSE),"Not Found"))</f>
        <v/>
      </c>
      <c r="F653" t="str">
        <f>IF(C653="","",IFERROR(VLOOKUP(C653,csvratings!$A:$R,18,FALSE),"Not Found"))</f>
        <v/>
      </c>
      <c r="G653" t="str">
        <f>IF(D653="","",IFERROR(VLOOKUP(D653,csvratings!$A:$R,18,FALSE),"Not Found"))</f>
        <v/>
      </c>
      <c r="H653" s="4" t="str">
        <f t="shared" ca="1" si="11"/>
        <v/>
      </c>
    </row>
    <row r="654" spans="5:8">
      <c r="E654" t="str">
        <f>IF(B654="","",IFERROR(VLOOKUP(B654,csvratings!$A:$R,18,FALSE),"Not Found"))</f>
        <v/>
      </c>
      <c r="F654" t="str">
        <f>IF(C654="","",IFERROR(VLOOKUP(C654,csvratings!$A:$R,18,FALSE),"Not Found"))</f>
        <v/>
      </c>
      <c r="G654" t="str">
        <f>IF(D654="","",IFERROR(VLOOKUP(D654,csvratings!$A:$R,18,FALSE),"Not Found"))</f>
        <v/>
      </c>
      <c r="H654" s="4" t="str">
        <f t="shared" ca="1" si="11"/>
        <v/>
      </c>
    </row>
    <row r="655" spans="5:8">
      <c r="E655" t="str">
        <f>IF(B655="","",IFERROR(VLOOKUP(B655,csvratings!$A:$R,18,FALSE),"Not Found"))</f>
        <v/>
      </c>
      <c r="F655" t="str">
        <f>IF(C655="","",IFERROR(VLOOKUP(C655,csvratings!$A:$R,18,FALSE),"Not Found"))</f>
        <v/>
      </c>
      <c r="G655" t="str">
        <f>IF(D655="","",IFERROR(VLOOKUP(D655,csvratings!$A:$R,18,FALSE),"Not Found"))</f>
        <v/>
      </c>
      <c r="H655" s="4" t="str">
        <f t="shared" ca="1" si="11"/>
        <v/>
      </c>
    </row>
    <row r="656" spans="5:8">
      <c r="E656" t="str">
        <f>IF(B656="","",IFERROR(VLOOKUP(B656,csvratings!$A:$R,18,FALSE),"Not Found"))</f>
        <v/>
      </c>
      <c r="F656" t="str">
        <f>IF(C656="","",IFERROR(VLOOKUP(C656,csvratings!$A:$R,18,FALSE),"Not Found"))</f>
        <v/>
      </c>
      <c r="G656" t="str">
        <f>IF(D656="","",IFERROR(VLOOKUP(D656,csvratings!$A:$R,18,FALSE),"Not Found"))</f>
        <v/>
      </c>
      <c r="H656" s="4" t="str">
        <f t="shared" ca="1" si="11"/>
        <v/>
      </c>
    </row>
    <row r="657" spans="5:8">
      <c r="E657" t="str">
        <f>IF(B657="","",IFERROR(VLOOKUP(B657,csvratings!$A:$R,18,FALSE),"Not Found"))</f>
        <v/>
      </c>
      <c r="F657" t="str">
        <f>IF(C657="","",IFERROR(VLOOKUP(C657,csvratings!$A:$R,18,FALSE),"Not Found"))</f>
        <v/>
      </c>
      <c r="G657" t="str">
        <f>IF(D657="","",IFERROR(VLOOKUP(D657,csvratings!$A:$R,18,FALSE),"Not Found"))</f>
        <v/>
      </c>
      <c r="H657" s="4" t="str">
        <f t="shared" ca="1" si="11"/>
        <v/>
      </c>
    </row>
    <row r="658" spans="5:8">
      <c r="E658" t="str">
        <f>IF(B658="","",IFERROR(VLOOKUP(B658,csvratings!$A:$R,18,FALSE),"Not Found"))</f>
        <v/>
      </c>
      <c r="F658" t="str">
        <f>IF(C658="","",IFERROR(VLOOKUP(C658,csvratings!$A:$R,18,FALSE),"Not Found"))</f>
        <v/>
      </c>
      <c r="G658" t="str">
        <f>IF(D658="","",IFERROR(VLOOKUP(D658,csvratings!$A:$R,18,FALSE),"Not Found"))</f>
        <v/>
      </c>
      <c r="H658" s="4" t="str">
        <f t="shared" ca="1" si="11"/>
        <v/>
      </c>
    </row>
    <row r="659" spans="5:8">
      <c r="E659" t="str">
        <f>IF(B659="","",IFERROR(VLOOKUP(B659,csvratings!$A:$R,18,FALSE),"Not Found"))</f>
        <v/>
      </c>
      <c r="F659" t="str">
        <f>IF(C659="","",IFERROR(VLOOKUP(C659,csvratings!$A:$R,18,FALSE),"Not Found"))</f>
        <v/>
      </c>
      <c r="G659" t="str">
        <f>IF(D659="","",IFERROR(VLOOKUP(D659,csvratings!$A:$R,18,FALSE),"Not Found"))</f>
        <v/>
      </c>
      <c r="H659" s="4" t="str">
        <f t="shared" ca="1" si="11"/>
        <v/>
      </c>
    </row>
    <row r="660" spans="5:8">
      <c r="E660" t="str">
        <f>IF(B660="","",IFERROR(VLOOKUP(B660,csvratings!$A:$R,18,FALSE),"Not Found"))</f>
        <v/>
      </c>
      <c r="F660" t="str">
        <f>IF(C660="","",IFERROR(VLOOKUP(C660,csvratings!$A:$R,18,FALSE),"Not Found"))</f>
        <v/>
      </c>
      <c r="G660" t="str">
        <f>IF(D660="","",IFERROR(VLOOKUP(D660,csvratings!$A:$R,18,FALSE),"Not Found"))</f>
        <v/>
      </c>
      <c r="H660" s="4" t="str">
        <f t="shared" ca="1" si="11"/>
        <v/>
      </c>
    </row>
    <row r="661" spans="5:8">
      <c r="E661" t="str">
        <f>IF(B661="","",IFERROR(VLOOKUP(B661,csvratings!$A:$R,18,FALSE),"Not Found"))</f>
        <v/>
      </c>
      <c r="F661" t="str">
        <f>IF(C661="","",IFERROR(VLOOKUP(C661,csvratings!$A:$R,18,FALSE),"Not Found"))</f>
        <v/>
      </c>
      <c r="G661" t="str">
        <f>IF(D661="","",IFERROR(VLOOKUP(D661,csvratings!$A:$R,18,FALSE),"Not Found"))</f>
        <v/>
      </c>
      <c r="H661" s="4" t="str">
        <f t="shared" ca="1" si="11"/>
        <v/>
      </c>
    </row>
    <row r="662" spans="5:8">
      <c r="E662" t="str">
        <f>IF(B662="","",IFERROR(VLOOKUP(B662,csvratings!$A:$R,18,FALSE),"Not Found"))</f>
        <v/>
      </c>
      <c r="F662" t="str">
        <f>IF(C662="","",IFERROR(VLOOKUP(C662,csvratings!$A:$R,18,FALSE),"Not Found"))</f>
        <v/>
      </c>
      <c r="G662" t="str">
        <f>IF(D662="","",IFERROR(VLOOKUP(D662,csvratings!$A:$R,18,FALSE),"Not Found"))</f>
        <v/>
      </c>
      <c r="H662" s="4" t="str">
        <f t="shared" ca="1" si="11"/>
        <v/>
      </c>
    </row>
    <row r="663" spans="5:8">
      <c r="E663" t="str">
        <f>IF(B663="","",IFERROR(VLOOKUP(B663,csvratings!$A:$R,18,FALSE),"Not Found"))</f>
        <v/>
      </c>
      <c r="F663" t="str">
        <f>IF(C663="","",IFERROR(VLOOKUP(C663,csvratings!$A:$R,18,FALSE),"Not Found"))</f>
        <v/>
      </c>
      <c r="G663" t="str">
        <f>IF(D663="","",IFERROR(VLOOKUP(D663,csvratings!$A:$R,18,FALSE),"Not Found"))</f>
        <v/>
      </c>
      <c r="H663" s="4" t="str">
        <f t="shared" ca="1" si="11"/>
        <v/>
      </c>
    </row>
    <row r="664" spans="5:8">
      <c r="E664" t="str">
        <f>IF(B664="","",IFERROR(VLOOKUP(B664,csvratings!$A:$R,18,FALSE),"Not Found"))</f>
        <v/>
      </c>
      <c r="F664" t="str">
        <f>IF(C664="","",IFERROR(VLOOKUP(C664,csvratings!$A:$R,18,FALSE),"Not Found"))</f>
        <v/>
      </c>
      <c r="G664" t="str">
        <f>IF(D664="","",IFERROR(VLOOKUP(D664,csvratings!$A:$R,18,FALSE),"Not Found"))</f>
        <v/>
      </c>
      <c r="H664" s="4" t="str">
        <f t="shared" ca="1" si="11"/>
        <v/>
      </c>
    </row>
    <row r="665" spans="5:8">
      <c r="E665" t="str">
        <f>IF(B665="","",IFERROR(VLOOKUP(B665,csvratings!$A:$R,18,FALSE),"Not Found"))</f>
        <v/>
      </c>
      <c r="F665" t="str">
        <f>IF(C665="","",IFERROR(VLOOKUP(C665,csvratings!$A:$R,18,FALSE),"Not Found"))</f>
        <v/>
      </c>
      <c r="G665" t="str">
        <f>IF(D665="","",IFERROR(VLOOKUP(D665,csvratings!$A:$R,18,FALSE),"Not Found"))</f>
        <v/>
      </c>
      <c r="H665" s="4" t="str">
        <f t="shared" ca="1" si="11"/>
        <v/>
      </c>
    </row>
    <row r="666" spans="5:8">
      <c r="E666" t="str">
        <f>IF(B666="","",IFERROR(VLOOKUP(B666,csvratings!$A:$R,18,FALSE),"Not Found"))</f>
        <v/>
      </c>
      <c r="F666" t="str">
        <f>IF(C666="","",IFERROR(VLOOKUP(C666,csvratings!$A:$R,18,FALSE),"Not Found"))</f>
        <v/>
      </c>
      <c r="G666" t="str">
        <f>IF(D666="","",IFERROR(VLOOKUP(D666,csvratings!$A:$R,18,FALSE),"Not Found"))</f>
        <v/>
      </c>
      <c r="H666" s="4" t="str">
        <f t="shared" ca="1" si="11"/>
        <v/>
      </c>
    </row>
    <row r="667" spans="5:8">
      <c r="E667" t="str">
        <f>IF(B667="","",IFERROR(VLOOKUP(B667,csvratings!$A:$R,18,FALSE),"Not Found"))</f>
        <v/>
      </c>
      <c r="F667" t="str">
        <f>IF(C667="","",IFERROR(VLOOKUP(C667,csvratings!$A:$R,18,FALSE),"Not Found"))</f>
        <v/>
      </c>
      <c r="G667" t="str">
        <f>IF(D667="","",IFERROR(VLOOKUP(D667,csvratings!$A:$R,18,FALSE),"Not Found"))</f>
        <v/>
      </c>
      <c r="H667" s="4" t="str">
        <f t="shared" ca="1" si="11"/>
        <v/>
      </c>
    </row>
    <row r="668" spans="5:8">
      <c r="E668" t="str">
        <f>IF(B668="","",IFERROR(VLOOKUP(B668,csvratings!$A:$R,18,FALSE),"Not Found"))</f>
        <v/>
      </c>
      <c r="F668" t="str">
        <f>IF(C668="","",IFERROR(VLOOKUP(C668,csvratings!$A:$R,18,FALSE),"Not Found"))</f>
        <v/>
      </c>
      <c r="G668" t="str">
        <f>IF(D668="","",IFERROR(VLOOKUP(D668,csvratings!$A:$R,18,FALSE),"Not Found"))</f>
        <v/>
      </c>
      <c r="H668" s="4" t="str">
        <f t="shared" ca="1" si="11"/>
        <v/>
      </c>
    </row>
    <row r="669" spans="5:8">
      <c r="E669" t="str">
        <f>IF(B669="","",IFERROR(VLOOKUP(B669,csvratings!$A:$R,18,FALSE),"Not Found"))</f>
        <v/>
      </c>
      <c r="F669" t="str">
        <f>IF(C669="","",IFERROR(VLOOKUP(C669,csvratings!$A:$R,18,FALSE),"Not Found"))</f>
        <v/>
      </c>
      <c r="G669" t="str">
        <f>IF(D669="","",IFERROR(VLOOKUP(D669,csvratings!$A:$R,18,FALSE),"Not Found"))</f>
        <v/>
      </c>
      <c r="H669" s="4" t="str">
        <f t="shared" ca="1" si="11"/>
        <v/>
      </c>
    </row>
    <row r="670" spans="5:8">
      <c r="E670" t="str">
        <f>IF(B670="","",IFERROR(VLOOKUP(B670,csvratings!$A:$R,18,FALSE),"Not Found"))</f>
        <v/>
      </c>
      <c r="F670" t="str">
        <f>IF(C670="","",IFERROR(VLOOKUP(C670,csvratings!$A:$R,18,FALSE),"Not Found"))</f>
        <v/>
      </c>
      <c r="G670" t="str">
        <f>IF(D670="","",IFERROR(VLOOKUP(D670,csvratings!$A:$R,18,FALSE),"Not Found"))</f>
        <v/>
      </c>
      <c r="H670" s="4" t="str">
        <f t="shared" ca="1" si="11"/>
        <v/>
      </c>
    </row>
    <row r="671" spans="5:8">
      <c r="E671" t="str">
        <f>IF(B671="","",IFERROR(VLOOKUP(B671,csvratings!$A:$R,18,FALSE),"Not Found"))</f>
        <v/>
      </c>
      <c r="F671" t="str">
        <f>IF(C671="","",IFERROR(VLOOKUP(C671,csvratings!$A:$R,18,FALSE),"Not Found"))</f>
        <v/>
      </c>
      <c r="G671" t="str">
        <f>IF(D671="","",IFERROR(VLOOKUP(D671,csvratings!$A:$R,18,FALSE),"Not Found"))</f>
        <v/>
      </c>
      <c r="H671" s="4" t="str">
        <f t="shared" ca="1" si="11"/>
        <v/>
      </c>
    </row>
    <row r="672" spans="5:8">
      <c r="E672" t="str">
        <f>IF(B672="","",IFERROR(VLOOKUP(B672,csvratings!$A:$R,18,FALSE),"Not Found"))</f>
        <v/>
      </c>
      <c r="F672" t="str">
        <f>IF(C672="","",IFERROR(VLOOKUP(C672,csvratings!$A:$R,18,FALSE),"Not Found"))</f>
        <v/>
      </c>
      <c r="G672" t="str">
        <f>IF(D672="","",IFERROR(VLOOKUP(D672,csvratings!$A:$R,18,FALSE),"Not Found"))</f>
        <v/>
      </c>
      <c r="H672" s="4" t="str">
        <f t="shared" ca="1" si="11"/>
        <v/>
      </c>
    </row>
    <row r="673" spans="5:8">
      <c r="E673" t="str">
        <f>IF(B673="","",IFERROR(VLOOKUP(B673,csvratings!$A:$R,18,FALSE),"Not Found"))</f>
        <v/>
      </c>
      <c r="F673" t="str">
        <f>IF(C673="","",IFERROR(VLOOKUP(C673,csvratings!$A:$R,18,FALSE),"Not Found"))</f>
        <v/>
      </c>
      <c r="G673" t="str">
        <f>IF(D673="","",IFERROR(VLOOKUP(D673,csvratings!$A:$R,18,FALSE),"Not Found"))</f>
        <v/>
      </c>
      <c r="H673" s="4" t="str">
        <f t="shared" ca="1" si="11"/>
        <v/>
      </c>
    </row>
    <row r="674" spans="5:8">
      <c r="E674" t="str">
        <f>IF(B674="","",IFERROR(VLOOKUP(B674,csvratings!$A:$R,18,FALSE),"Not Found"))</f>
        <v/>
      </c>
      <c r="F674" t="str">
        <f>IF(C674="","",IFERROR(VLOOKUP(C674,csvratings!$A:$R,18,FALSE),"Not Found"))</f>
        <v/>
      </c>
      <c r="G674" t="str">
        <f>IF(D674="","",IFERROR(VLOOKUP(D674,csvratings!$A:$R,18,FALSE),"Not Found"))</f>
        <v/>
      </c>
      <c r="H674" s="4" t="str">
        <f t="shared" ca="1" si="11"/>
        <v/>
      </c>
    </row>
    <row r="675" spans="5:8">
      <c r="E675" t="str">
        <f>IF(B675="","",IFERROR(VLOOKUP(B675,csvratings!$A:$R,18,FALSE),"Not Found"))</f>
        <v/>
      </c>
      <c r="F675" t="str">
        <f>IF(C675="","",IFERROR(VLOOKUP(C675,csvratings!$A:$R,18,FALSE),"Not Found"))</f>
        <v/>
      </c>
      <c r="G675" t="str">
        <f>IF(D675="","",IFERROR(VLOOKUP(D675,csvratings!$A:$R,18,FALSE),"Not Found"))</f>
        <v/>
      </c>
      <c r="H675" s="4" t="str">
        <f t="shared" ca="1" si="11"/>
        <v/>
      </c>
    </row>
    <row r="676" spans="5:8">
      <c r="E676" t="str">
        <f>IF(B676="","",IFERROR(VLOOKUP(B676,csvratings!$A:$R,18,FALSE),"Not Found"))</f>
        <v/>
      </c>
      <c r="F676" t="str">
        <f>IF(C676="","",IFERROR(VLOOKUP(C676,csvratings!$A:$R,18,FALSE),"Not Found"))</f>
        <v/>
      </c>
      <c r="G676" t="str">
        <f>IF(D676="","",IFERROR(VLOOKUP(D676,csvratings!$A:$R,18,FALSE),"Not Found"))</f>
        <v/>
      </c>
      <c r="H676" s="4" t="str">
        <f t="shared" ca="1" si="11"/>
        <v/>
      </c>
    </row>
    <row r="677" spans="5:8">
      <c r="E677" t="str">
        <f>IF(B677="","",IFERROR(VLOOKUP(B677,csvratings!$A:$R,18,FALSE),"Not Found"))</f>
        <v/>
      </c>
      <c r="F677" t="str">
        <f>IF(C677="","",IFERROR(VLOOKUP(C677,csvratings!$A:$R,18,FALSE),"Not Found"))</f>
        <v/>
      </c>
      <c r="G677" t="str">
        <f>IF(D677="","",IFERROR(VLOOKUP(D677,csvratings!$A:$R,18,FALSE),"Not Found"))</f>
        <v/>
      </c>
      <c r="H677" s="4" t="str">
        <f t="shared" ca="1" si="11"/>
        <v/>
      </c>
    </row>
    <row r="678" spans="5:8">
      <c r="E678" t="str">
        <f>IF(B678="","",IFERROR(VLOOKUP(B678,csvratings!$A:$R,18,FALSE),"Not Found"))</f>
        <v/>
      </c>
      <c r="F678" t="str">
        <f>IF(C678="","",IFERROR(VLOOKUP(C678,csvratings!$A:$R,18,FALSE),"Not Found"))</f>
        <v/>
      </c>
      <c r="G678" t="str">
        <f>IF(D678="","",IFERROR(VLOOKUP(D678,csvratings!$A:$R,18,FALSE),"Not Found"))</f>
        <v/>
      </c>
      <c r="H678" s="4" t="str">
        <f t="shared" ca="1" si="11"/>
        <v/>
      </c>
    </row>
    <row r="679" spans="5:8">
      <c r="E679" t="str">
        <f>IF(B679="","",IFERROR(VLOOKUP(B679,csvratings!$A:$R,18,FALSE),"Not Found"))</f>
        <v/>
      </c>
      <c r="F679" t="str">
        <f>IF(C679="","",IFERROR(VLOOKUP(C679,csvratings!$A:$R,18,FALSE),"Not Found"))</f>
        <v/>
      </c>
      <c r="G679" t="str">
        <f>IF(D679="","",IFERROR(VLOOKUP(D679,csvratings!$A:$R,18,FALSE),"Not Found"))</f>
        <v/>
      </c>
      <c r="H679" s="4" t="str">
        <f t="shared" ca="1" si="11"/>
        <v/>
      </c>
    </row>
    <row r="680" spans="5:8">
      <c r="E680" t="str">
        <f>IF(B680="","",IFERROR(VLOOKUP(B680,csvratings!$A:$R,18,FALSE),"Not Found"))</f>
        <v/>
      </c>
      <c r="F680" t="str">
        <f>IF(C680="","",IFERROR(VLOOKUP(C680,csvratings!$A:$R,18,FALSE),"Not Found"))</f>
        <v/>
      </c>
      <c r="G680" t="str">
        <f>IF(D680="","",IFERROR(VLOOKUP(D680,csvratings!$A:$R,18,FALSE),"Not Found"))</f>
        <v/>
      </c>
      <c r="H680" s="4" t="str">
        <f t="shared" ca="1" si="11"/>
        <v/>
      </c>
    </row>
    <row r="681" spans="5:8">
      <c r="E681" t="str">
        <f>IF(B681="","",IFERROR(VLOOKUP(B681,csvratings!$A:$R,18,FALSE),"Not Found"))</f>
        <v/>
      </c>
      <c r="F681" t="str">
        <f>IF(C681="","",IFERROR(VLOOKUP(C681,csvratings!$A:$R,18,FALSE),"Not Found"))</f>
        <v/>
      </c>
      <c r="G681" t="str">
        <f>IF(D681="","",IFERROR(VLOOKUP(D681,csvratings!$A:$R,18,FALSE),"Not Found"))</f>
        <v/>
      </c>
      <c r="H681" s="4" t="str">
        <f t="shared" ca="1" si="11"/>
        <v/>
      </c>
    </row>
    <row r="682" spans="5:8">
      <c r="E682" t="str">
        <f>IF(B682="","",IFERROR(VLOOKUP(B682,csvratings!$A:$R,18,FALSE),"Not Found"))</f>
        <v/>
      </c>
      <c r="F682" t="str">
        <f>IF(C682="","",IFERROR(VLOOKUP(C682,csvratings!$A:$R,18,FALSE),"Not Found"))</f>
        <v/>
      </c>
      <c r="G682" t="str">
        <f>IF(D682="","",IFERROR(VLOOKUP(D682,csvratings!$A:$R,18,FALSE),"Not Found"))</f>
        <v/>
      </c>
      <c r="H682" s="4" t="str">
        <f t="shared" ca="1" si="11"/>
        <v/>
      </c>
    </row>
    <row r="683" spans="5:8">
      <c r="E683" t="str">
        <f>IF(B683="","",IFERROR(VLOOKUP(B683,csvratings!$A:$R,18,FALSE),"Not Found"))</f>
        <v/>
      </c>
      <c r="F683" t="str">
        <f>IF(C683="","",IFERROR(VLOOKUP(C683,csvratings!$A:$R,18,FALSE),"Not Found"))</f>
        <v/>
      </c>
      <c r="G683" t="str">
        <f>IF(D683="","",IFERROR(VLOOKUP(D683,csvratings!$A:$R,18,FALSE),"Not Found"))</f>
        <v/>
      </c>
      <c r="H683" s="4" t="str">
        <f t="shared" ca="1" si="11"/>
        <v/>
      </c>
    </row>
    <row r="684" spans="5:8">
      <c r="E684" t="str">
        <f>IF(B684="","",IFERROR(VLOOKUP(B684,csvratings!$A:$R,18,FALSE),"Not Found"))</f>
        <v/>
      </c>
      <c r="F684" t="str">
        <f>IF(C684="","",IFERROR(VLOOKUP(C684,csvratings!$A:$R,18,FALSE),"Not Found"))</f>
        <v/>
      </c>
      <c r="G684" t="str">
        <f>IF(D684="","",IFERROR(VLOOKUP(D684,csvratings!$A:$R,18,FALSE),"Not Found"))</f>
        <v/>
      </c>
      <c r="H684" s="4" t="str">
        <f t="shared" ca="1" si="11"/>
        <v/>
      </c>
    </row>
    <row r="685" spans="5:8">
      <c r="E685" t="str">
        <f>IF(B685="","",IFERROR(VLOOKUP(B685,csvratings!$A:$R,18,FALSE),"Not Found"))</f>
        <v/>
      </c>
      <c r="F685" t="str">
        <f>IF(C685="","",IFERROR(VLOOKUP(C685,csvratings!$A:$R,18,FALSE),"Not Found"))</f>
        <v/>
      </c>
      <c r="G685" t="str">
        <f>IF(D685="","",IFERROR(VLOOKUP(D685,csvratings!$A:$R,18,FALSE),"Not Found"))</f>
        <v/>
      </c>
      <c r="H685" s="4" t="str">
        <f t="shared" ca="1" si="11"/>
        <v/>
      </c>
    </row>
    <row r="686" spans="5:8">
      <c r="E686" t="str">
        <f>IF(B686="","",IFERROR(VLOOKUP(B686,csvratings!$A:$R,18,FALSE),"Not Found"))</f>
        <v/>
      </c>
      <c r="F686" t="str">
        <f>IF(C686="","",IFERROR(VLOOKUP(C686,csvratings!$A:$R,18,FALSE),"Not Found"))</f>
        <v/>
      </c>
      <c r="G686" t="str">
        <f>IF(D686="","",IFERROR(VLOOKUP(D686,csvratings!$A:$R,18,FALSE),"Not Found"))</f>
        <v/>
      </c>
      <c r="H686" s="4" t="str">
        <f t="shared" ca="1" si="11"/>
        <v/>
      </c>
    </row>
    <row r="687" spans="5:8">
      <c r="E687" t="str">
        <f>IF(B687="","",IFERROR(VLOOKUP(B687,csvratings!$A:$R,18,FALSE),"Not Found"))</f>
        <v/>
      </c>
      <c r="F687" t="str">
        <f>IF(C687="","",IFERROR(VLOOKUP(C687,csvratings!$A:$R,18,FALSE),"Not Found"))</f>
        <v/>
      </c>
      <c r="H687" s="4" t="str">
        <f t="shared" ca="1" si="11"/>
        <v/>
      </c>
    </row>
    <row r="688" spans="5:8">
      <c r="E688" t="str">
        <f>IF(B688="","",IFERROR(VLOOKUP(B688,csvratings!$A:$R,18,FALSE),"Not Found"))</f>
        <v/>
      </c>
      <c r="F688" t="str">
        <f>IF(C688="","",IFERROR(VLOOKUP(C688,csvratings!$A:$R,18,FALSE),"Not Found"))</f>
        <v/>
      </c>
      <c r="H688" s="4" t="str">
        <f t="shared" ca="1" si="11"/>
        <v/>
      </c>
    </row>
    <row r="689" spans="5:6">
      <c r="E689" t="str">
        <f>IF(B689="","",IFERROR(VLOOKUP(B689,csvratings!$A:$R,18,FALSE),"Not Found"))</f>
        <v/>
      </c>
      <c r="F689" t="str">
        <f>IF(C689="","",IFERROR(VLOOKUP(C689,csvratings!$A:$R,18,FALSE),"Not Found"))</f>
        <v/>
      </c>
    </row>
    <row r="690" spans="5:6">
      <c r="E690" t="str">
        <f>IF(B690="","",IFERROR(VLOOKUP(B690,csvratings!$A:$R,18,FALSE),"Not Found"))</f>
        <v/>
      </c>
      <c r="F690" t="str">
        <f>IF(C690="","",IFERROR(VLOOKUP(C690,csvratings!$A:$R,18,FALSE),"Not Found"))</f>
        <v/>
      </c>
    </row>
    <row r="691" spans="5:6">
      <c r="E691" t="str">
        <f>IF(B691="","",IFERROR(VLOOKUP(B691,csvratings!$A:$R,18,FALSE),"Not Found"))</f>
        <v/>
      </c>
      <c r="F691" t="str">
        <f>IF(C691="","",IFERROR(VLOOKUP(C691,csvratings!$A:$R,18,FALSE),"Not Found"))</f>
        <v/>
      </c>
    </row>
    <row r="692" spans="5:6">
      <c r="E692" t="str">
        <f>IF(B692="","",IFERROR(VLOOKUP(B692,csvratings!$A:$R,18,FALSE),"Not Found"))</f>
        <v/>
      </c>
      <c r="F692" t="str">
        <f>IF(C692="","",IFERROR(VLOOKUP(C692,csvratings!$A:$R,18,FALSE),"Not Found"))</f>
        <v/>
      </c>
    </row>
    <row r="693" spans="5:6">
      <c r="E693" t="str">
        <f>IF(B693="","",IFERROR(VLOOKUP(B693,csvratings!$A:$R,18,FALSE),"Not Found"))</f>
        <v/>
      </c>
    </row>
    <row r="694" spans="5:6">
      <c r="E694" t="str">
        <f>IF(B694="","",IFERROR(VLOOKUP(B694,csvratings!$A:$R,18,FALSE),"Not Found"))</f>
        <v/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DCF7F0AC-4855-40CF-B6EA-F1A688EF59E3}">
          <x14:formula1>
            <xm:f>AND(     COUNTIF(csvratings!$R:$R,"d")&gt;0,     OR(         B2="",         AND(             COUNTIF(csvratings!$A:$A,B2)&gt;0,             VLOOKUP(B2,csvratings!$A:$R,18,FALSE)="d"         )     ) )</xm:f>
          </x14:formula1>
          <xm:sqref>B1:D1048576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79DCC-B968-4E2E-8EA7-2D632C1CB98D}">
  <sheetPr codeName="Sheet4">
    <tabColor theme="6" tint="0.39997558519241921"/>
  </sheetPr>
  <dimension ref="A1:B475"/>
  <sheetViews>
    <sheetView workbookViewId="0">
      <selection activeCell="A9" sqref="A9"/>
    </sheetView>
  </sheetViews>
  <sheetFormatPr defaultRowHeight="15" thickTop="1" thickBottom="1"/>
  <cols>
    <col min="1" max="1" width="22.796875" style="7" customWidth="1"/>
    <col min="2" max="2" width="23.19921875" style="8" customWidth="1"/>
  </cols>
  <sheetData>
    <row r="1" spans="1:2" thickTop="1" thickBot="1">
      <c r="A1" s="5" t="s">
        <v>239</v>
      </c>
      <c r="B1" s="6" t="s">
        <v>240</v>
      </c>
    </row>
    <row r="2" spans="1:2" thickTop="1" thickBot="1">
      <c r="A2" s="7" t="s">
        <v>222</v>
      </c>
      <c r="B2" s="8">
        <f t="shared" ref="B2:B66" ca="1" si="0">IF(A2&lt;&gt;"",TODAY(),"")</f>
        <v>45703</v>
      </c>
    </row>
    <row r="3" spans="1:2" thickTop="1" thickBot="1">
      <c r="A3" s="7" t="s">
        <v>223</v>
      </c>
      <c r="B3" s="8">
        <f t="shared" ca="1" si="0"/>
        <v>45703</v>
      </c>
    </row>
    <row r="4" spans="1:2" thickTop="1" thickBot="1">
      <c r="A4" s="9" t="s">
        <v>241</v>
      </c>
      <c r="B4" s="8">
        <f t="shared" ca="1" si="0"/>
        <v>45703</v>
      </c>
    </row>
    <row r="5" spans="1:2" thickTop="1" thickBot="1">
      <c r="A5" s="13" t="s">
        <v>224</v>
      </c>
      <c r="B5" s="10">
        <f t="shared" ca="1" si="0"/>
        <v>45703</v>
      </c>
    </row>
    <row r="6" spans="1:2" thickTop="1" thickBot="1">
      <c r="A6" s="13" t="s">
        <v>225</v>
      </c>
      <c r="B6" s="10">
        <f t="shared" ca="1" si="0"/>
        <v>45703</v>
      </c>
    </row>
    <row r="7" spans="1:2" thickTop="1" thickBot="1">
      <c r="A7" s="13" t="s">
        <v>226</v>
      </c>
      <c r="B7" s="10">
        <f t="shared" ca="1" si="0"/>
        <v>45703</v>
      </c>
    </row>
    <row r="8" spans="1:2" thickTop="1" thickBot="1">
      <c r="A8" s="12" t="s">
        <v>227</v>
      </c>
      <c r="B8" s="10">
        <f t="shared" ca="1" si="0"/>
        <v>45703</v>
      </c>
    </row>
    <row r="9" spans="1:2" thickTop="1" thickBot="1">
      <c r="A9" s="11"/>
      <c r="B9" s="8" t="str">
        <f t="shared" ca="1" si="0"/>
        <v/>
      </c>
    </row>
    <row r="10" spans="1:2" thickTop="1" thickBot="1">
      <c r="B10" s="8" t="str">
        <f t="shared" ca="1" si="0"/>
        <v/>
      </c>
    </row>
    <row r="11" spans="1:2" thickTop="1" thickBot="1">
      <c r="B11" s="8" t="str">
        <f t="shared" ca="1" si="0"/>
        <v/>
      </c>
    </row>
    <row r="12" spans="1:2" thickTop="1" thickBot="1">
      <c r="B12" s="8" t="str">
        <f t="shared" ca="1" si="0"/>
        <v/>
      </c>
    </row>
    <row r="13" spans="1:2" thickTop="1" thickBot="1">
      <c r="B13" s="8" t="str">
        <f t="shared" ca="1" si="0"/>
        <v/>
      </c>
    </row>
    <row r="14" spans="1:2" thickTop="1" thickBot="1">
      <c r="B14" s="8" t="str">
        <f t="shared" ca="1" si="0"/>
        <v/>
      </c>
    </row>
    <row r="15" spans="1:2" thickTop="1" thickBot="1">
      <c r="B15" s="8" t="str">
        <f t="shared" ca="1" si="0"/>
        <v/>
      </c>
    </row>
    <row r="16" spans="1:2" thickTop="1" thickBot="1">
      <c r="B16" s="8" t="str">
        <f t="shared" ca="1" si="0"/>
        <v/>
      </c>
    </row>
    <row r="17" spans="2:2" thickTop="1" thickBot="1">
      <c r="B17" s="8" t="str">
        <f t="shared" ca="1" si="0"/>
        <v/>
      </c>
    </row>
    <row r="18" spans="2:2" thickTop="1" thickBot="1">
      <c r="B18" s="8" t="str">
        <f t="shared" ca="1" si="0"/>
        <v/>
      </c>
    </row>
    <row r="19" spans="2:2" thickTop="1" thickBot="1">
      <c r="B19" s="8" t="str">
        <f t="shared" ca="1" si="0"/>
        <v/>
      </c>
    </row>
    <row r="20" spans="2:2" thickTop="1" thickBot="1">
      <c r="B20" s="8" t="str">
        <f t="shared" ca="1" si="0"/>
        <v/>
      </c>
    </row>
    <row r="21" spans="2:2" thickTop="1" thickBot="1">
      <c r="B21" s="8" t="str">
        <f t="shared" ca="1" si="0"/>
        <v/>
      </c>
    </row>
    <row r="22" spans="2:2" thickTop="1" thickBot="1">
      <c r="B22" s="8" t="str">
        <f t="shared" ca="1" si="0"/>
        <v/>
      </c>
    </row>
    <row r="23" spans="2:2" thickTop="1" thickBot="1">
      <c r="B23" s="8" t="str">
        <f t="shared" ca="1" si="0"/>
        <v/>
      </c>
    </row>
    <row r="24" spans="2:2" thickTop="1" thickBot="1">
      <c r="B24" s="8" t="str">
        <f t="shared" ca="1" si="0"/>
        <v/>
      </c>
    </row>
    <row r="25" spans="2:2" thickTop="1" thickBot="1">
      <c r="B25" s="8" t="str">
        <f t="shared" ca="1" si="0"/>
        <v/>
      </c>
    </row>
    <row r="26" spans="2:2" thickTop="1" thickBot="1">
      <c r="B26" s="8" t="str">
        <f t="shared" ca="1" si="0"/>
        <v/>
      </c>
    </row>
    <row r="27" spans="2:2" thickTop="1" thickBot="1">
      <c r="B27" s="8" t="str">
        <f t="shared" ca="1" si="0"/>
        <v/>
      </c>
    </row>
    <row r="28" spans="2:2" thickTop="1" thickBot="1">
      <c r="B28" s="8" t="str">
        <f t="shared" ca="1" si="0"/>
        <v/>
      </c>
    </row>
    <row r="29" spans="2:2" thickTop="1" thickBot="1">
      <c r="B29" s="8" t="str">
        <f t="shared" ca="1" si="0"/>
        <v/>
      </c>
    </row>
    <row r="30" spans="2:2" thickTop="1" thickBot="1">
      <c r="B30" s="8" t="str">
        <f t="shared" ca="1" si="0"/>
        <v/>
      </c>
    </row>
    <row r="31" spans="2:2" thickTop="1" thickBot="1">
      <c r="B31" s="8" t="str">
        <f t="shared" ca="1" si="0"/>
        <v/>
      </c>
    </row>
    <row r="32" spans="2:2" thickTop="1" thickBot="1">
      <c r="B32" s="8" t="str">
        <f t="shared" ca="1" si="0"/>
        <v/>
      </c>
    </row>
    <row r="33" spans="2:2" thickTop="1" thickBot="1">
      <c r="B33" s="8" t="str">
        <f t="shared" ca="1" si="0"/>
        <v/>
      </c>
    </row>
    <row r="34" spans="2:2" thickTop="1" thickBot="1">
      <c r="B34" s="8" t="str">
        <f t="shared" ca="1" si="0"/>
        <v/>
      </c>
    </row>
    <row r="35" spans="2:2" thickTop="1" thickBot="1">
      <c r="B35" s="8" t="str">
        <f t="shared" ca="1" si="0"/>
        <v/>
      </c>
    </row>
    <row r="36" spans="2:2" thickTop="1" thickBot="1">
      <c r="B36" s="8" t="str">
        <f t="shared" ca="1" si="0"/>
        <v/>
      </c>
    </row>
    <row r="37" spans="2:2" thickTop="1" thickBot="1">
      <c r="B37" s="8" t="str">
        <f t="shared" ca="1" si="0"/>
        <v/>
      </c>
    </row>
    <row r="38" spans="2:2" thickTop="1" thickBot="1">
      <c r="B38" s="8" t="str">
        <f t="shared" ca="1" si="0"/>
        <v/>
      </c>
    </row>
    <row r="39" spans="2:2" thickTop="1" thickBot="1">
      <c r="B39" s="8" t="str">
        <f t="shared" ca="1" si="0"/>
        <v/>
      </c>
    </row>
    <row r="40" spans="2:2" thickTop="1" thickBot="1">
      <c r="B40" s="8" t="str">
        <f t="shared" ca="1" si="0"/>
        <v/>
      </c>
    </row>
    <row r="41" spans="2:2" thickTop="1" thickBot="1">
      <c r="B41" s="8" t="str">
        <f t="shared" ca="1" si="0"/>
        <v/>
      </c>
    </row>
    <row r="42" spans="2:2" thickTop="1" thickBot="1">
      <c r="B42" s="8" t="str">
        <f t="shared" ca="1" si="0"/>
        <v/>
      </c>
    </row>
    <row r="43" spans="2:2" thickTop="1" thickBot="1">
      <c r="B43" s="8" t="str">
        <f t="shared" ca="1" si="0"/>
        <v/>
      </c>
    </row>
    <row r="44" spans="2:2" thickTop="1" thickBot="1">
      <c r="B44" s="8" t="str">
        <f t="shared" ca="1" si="0"/>
        <v/>
      </c>
    </row>
    <row r="45" spans="2:2" thickTop="1" thickBot="1">
      <c r="B45" s="8" t="str">
        <f t="shared" ca="1" si="0"/>
        <v/>
      </c>
    </row>
    <row r="46" spans="2:2" thickTop="1" thickBot="1">
      <c r="B46" s="8" t="str">
        <f t="shared" ca="1" si="0"/>
        <v/>
      </c>
    </row>
    <row r="47" spans="2:2" thickTop="1" thickBot="1">
      <c r="B47" s="8" t="str">
        <f t="shared" ca="1" si="0"/>
        <v/>
      </c>
    </row>
    <row r="48" spans="2:2" thickTop="1" thickBot="1">
      <c r="B48" s="8" t="str">
        <f t="shared" ca="1" si="0"/>
        <v/>
      </c>
    </row>
    <row r="49" spans="2:2" thickTop="1" thickBot="1">
      <c r="B49" s="8" t="str">
        <f t="shared" ca="1" si="0"/>
        <v/>
      </c>
    </row>
    <row r="50" spans="2:2" thickTop="1" thickBot="1">
      <c r="B50" s="8" t="str">
        <f t="shared" ca="1" si="0"/>
        <v/>
      </c>
    </row>
    <row r="51" spans="2:2" thickTop="1" thickBot="1">
      <c r="B51" s="8" t="str">
        <f t="shared" ca="1" si="0"/>
        <v/>
      </c>
    </row>
    <row r="52" spans="2:2" thickTop="1" thickBot="1">
      <c r="B52" s="8" t="str">
        <f t="shared" ca="1" si="0"/>
        <v/>
      </c>
    </row>
    <row r="53" spans="2:2" thickTop="1" thickBot="1">
      <c r="B53" s="8" t="str">
        <f t="shared" ca="1" si="0"/>
        <v/>
      </c>
    </row>
    <row r="54" spans="2:2" thickTop="1" thickBot="1">
      <c r="B54" s="8" t="str">
        <f t="shared" ca="1" si="0"/>
        <v/>
      </c>
    </row>
    <row r="55" spans="2:2" thickTop="1" thickBot="1">
      <c r="B55" s="8" t="str">
        <f t="shared" ca="1" si="0"/>
        <v/>
      </c>
    </row>
    <row r="56" spans="2:2" thickTop="1" thickBot="1">
      <c r="B56" s="8" t="str">
        <f t="shared" ca="1" si="0"/>
        <v/>
      </c>
    </row>
    <row r="57" spans="2:2" thickTop="1" thickBot="1">
      <c r="B57" s="8" t="str">
        <f t="shared" ca="1" si="0"/>
        <v/>
      </c>
    </row>
    <row r="58" spans="2:2" thickTop="1" thickBot="1">
      <c r="B58" s="8" t="str">
        <f t="shared" ca="1" si="0"/>
        <v/>
      </c>
    </row>
    <row r="59" spans="2:2" thickTop="1" thickBot="1">
      <c r="B59" s="8" t="str">
        <f t="shared" ca="1" si="0"/>
        <v/>
      </c>
    </row>
    <row r="60" spans="2:2" thickTop="1" thickBot="1">
      <c r="B60" s="8" t="str">
        <f t="shared" ca="1" si="0"/>
        <v/>
      </c>
    </row>
    <row r="61" spans="2:2" thickTop="1" thickBot="1">
      <c r="B61" s="8" t="str">
        <f t="shared" ca="1" si="0"/>
        <v/>
      </c>
    </row>
    <row r="62" spans="2:2" thickTop="1" thickBot="1">
      <c r="B62" s="8" t="str">
        <f t="shared" ca="1" si="0"/>
        <v/>
      </c>
    </row>
    <row r="63" spans="2:2" thickTop="1" thickBot="1">
      <c r="B63" s="8" t="str">
        <f t="shared" ca="1" si="0"/>
        <v/>
      </c>
    </row>
    <row r="64" spans="2:2" thickTop="1" thickBot="1">
      <c r="B64" s="8" t="str">
        <f t="shared" ca="1" si="0"/>
        <v/>
      </c>
    </row>
    <row r="65" spans="2:2" thickTop="1" thickBot="1">
      <c r="B65" s="8" t="str">
        <f t="shared" ca="1" si="0"/>
        <v/>
      </c>
    </row>
    <row r="66" spans="2:2" thickTop="1" thickBot="1">
      <c r="B66" s="8" t="str">
        <f t="shared" ca="1" si="0"/>
        <v/>
      </c>
    </row>
    <row r="67" spans="2:2" thickTop="1" thickBot="1">
      <c r="B67" s="8" t="str">
        <f t="shared" ref="B67:B130" ca="1" si="1">IF(A67&lt;&gt;"",TODAY(),"")</f>
        <v/>
      </c>
    </row>
    <row r="68" spans="2:2" thickTop="1" thickBot="1">
      <c r="B68" s="8" t="str">
        <f t="shared" ca="1" si="1"/>
        <v/>
      </c>
    </row>
    <row r="69" spans="2:2" thickTop="1" thickBot="1">
      <c r="B69" s="8" t="str">
        <f t="shared" ca="1" si="1"/>
        <v/>
      </c>
    </row>
    <row r="70" spans="2:2" thickTop="1" thickBot="1">
      <c r="B70" s="8" t="str">
        <f t="shared" ca="1" si="1"/>
        <v/>
      </c>
    </row>
    <row r="71" spans="2:2" thickTop="1" thickBot="1">
      <c r="B71" s="8" t="str">
        <f t="shared" ca="1" si="1"/>
        <v/>
      </c>
    </row>
    <row r="72" spans="2:2" thickTop="1" thickBot="1">
      <c r="B72" s="8" t="str">
        <f t="shared" ca="1" si="1"/>
        <v/>
      </c>
    </row>
    <row r="73" spans="2:2" thickTop="1" thickBot="1">
      <c r="B73" s="8" t="str">
        <f t="shared" ca="1" si="1"/>
        <v/>
      </c>
    </row>
    <row r="74" spans="2:2" thickTop="1" thickBot="1">
      <c r="B74" s="8" t="str">
        <f t="shared" ca="1" si="1"/>
        <v/>
      </c>
    </row>
    <row r="75" spans="2:2" thickTop="1" thickBot="1">
      <c r="B75" s="8" t="str">
        <f t="shared" ca="1" si="1"/>
        <v/>
      </c>
    </row>
    <row r="76" spans="2:2" thickTop="1" thickBot="1">
      <c r="B76" s="8" t="str">
        <f t="shared" ca="1" si="1"/>
        <v/>
      </c>
    </row>
    <row r="77" spans="2:2" thickTop="1" thickBot="1">
      <c r="B77" s="8" t="str">
        <f t="shared" ca="1" si="1"/>
        <v/>
      </c>
    </row>
    <row r="78" spans="2:2" thickTop="1" thickBot="1">
      <c r="B78" s="8" t="str">
        <f t="shared" ca="1" si="1"/>
        <v/>
      </c>
    </row>
    <row r="79" spans="2:2" thickTop="1" thickBot="1">
      <c r="B79" s="8" t="str">
        <f t="shared" ca="1" si="1"/>
        <v/>
      </c>
    </row>
    <row r="80" spans="2:2" thickTop="1" thickBot="1">
      <c r="B80" s="8" t="str">
        <f t="shared" ca="1" si="1"/>
        <v/>
      </c>
    </row>
    <row r="81" spans="2:2" thickTop="1" thickBot="1">
      <c r="B81" s="8" t="str">
        <f t="shared" ca="1" si="1"/>
        <v/>
      </c>
    </row>
    <row r="82" spans="2:2" thickTop="1" thickBot="1">
      <c r="B82" s="8" t="str">
        <f t="shared" ca="1" si="1"/>
        <v/>
      </c>
    </row>
    <row r="83" spans="2:2" thickTop="1" thickBot="1">
      <c r="B83" s="8" t="str">
        <f t="shared" ca="1" si="1"/>
        <v/>
      </c>
    </row>
    <row r="84" spans="2:2" thickTop="1" thickBot="1">
      <c r="B84" s="8" t="str">
        <f t="shared" ca="1" si="1"/>
        <v/>
      </c>
    </row>
    <row r="85" spans="2:2" thickTop="1" thickBot="1">
      <c r="B85" s="8" t="str">
        <f t="shared" ca="1" si="1"/>
        <v/>
      </c>
    </row>
    <row r="86" spans="2:2" thickTop="1" thickBot="1">
      <c r="B86" s="8" t="str">
        <f t="shared" ca="1" si="1"/>
        <v/>
      </c>
    </row>
    <row r="87" spans="2:2" thickTop="1" thickBot="1">
      <c r="B87" s="8" t="str">
        <f t="shared" ca="1" si="1"/>
        <v/>
      </c>
    </row>
    <row r="88" spans="2:2" thickTop="1" thickBot="1">
      <c r="B88" s="8" t="str">
        <f t="shared" ca="1" si="1"/>
        <v/>
      </c>
    </row>
    <row r="89" spans="2:2" thickTop="1" thickBot="1">
      <c r="B89" s="8" t="str">
        <f t="shared" ca="1" si="1"/>
        <v/>
      </c>
    </row>
    <row r="90" spans="2:2" thickTop="1" thickBot="1">
      <c r="B90" s="8" t="str">
        <f t="shared" ca="1" si="1"/>
        <v/>
      </c>
    </row>
    <row r="91" spans="2:2" thickTop="1" thickBot="1">
      <c r="B91" s="8" t="str">
        <f t="shared" ca="1" si="1"/>
        <v/>
      </c>
    </row>
    <row r="92" spans="2:2" thickTop="1" thickBot="1">
      <c r="B92" s="8" t="str">
        <f t="shared" ca="1" si="1"/>
        <v/>
      </c>
    </row>
    <row r="93" spans="2:2" thickTop="1" thickBot="1">
      <c r="B93" s="8" t="str">
        <f t="shared" ca="1" si="1"/>
        <v/>
      </c>
    </row>
    <row r="94" spans="2:2" thickTop="1" thickBot="1">
      <c r="B94" s="8" t="str">
        <f t="shared" ca="1" si="1"/>
        <v/>
      </c>
    </row>
    <row r="95" spans="2:2" thickTop="1" thickBot="1">
      <c r="B95" s="8" t="str">
        <f t="shared" ca="1" si="1"/>
        <v/>
      </c>
    </row>
    <row r="96" spans="2:2" thickTop="1" thickBot="1">
      <c r="B96" s="8" t="str">
        <f t="shared" ca="1" si="1"/>
        <v/>
      </c>
    </row>
    <row r="97" spans="2:2" thickTop="1" thickBot="1">
      <c r="B97" s="8" t="str">
        <f t="shared" ca="1" si="1"/>
        <v/>
      </c>
    </row>
    <row r="98" spans="2:2" thickTop="1" thickBot="1">
      <c r="B98" s="8" t="str">
        <f t="shared" ca="1" si="1"/>
        <v/>
      </c>
    </row>
    <row r="99" spans="2:2" thickTop="1" thickBot="1">
      <c r="B99" s="8" t="str">
        <f t="shared" ca="1" si="1"/>
        <v/>
      </c>
    </row>
    <row r="100" spans="2:2" thickTop="1" thickBot="1">
      <c r="B100" s="8" t="str">
        <f t="shared" ca="1" si="1"/>
        <v/>
      </c>
    </row>
    <row r="101" spans="2:2" thickTop="1" thickBot="1">
      <c r="B101" s="8" t="str">
        <f t="shared" ca="1" si="1"/>
        <v/>
      </c>
    </row>
    <row r="102" spans="2:2" thickTop="1" thickBot="1">
      <c r="B102" s="8" t="str">
        <f t="shared" ca="1" si="1"/>
        <v/>
      </c>
    </row>
    <row r="103" spans="2:2" thickTop="1" thickBot="1">
      <c r="B103" s="8" t="str">
        <f t="shared" ca="1" si="1"/>
        <v/>
      </c>
    </row>
    <row r="104" spans="2:2" thickTop="1" thickBot="1">
      <c r="B104" s="8" t="str">
        <f t="shared" ca="1" si="1"/>
        <v/>
      </c>
    </row>
    <row r="105" spans="2:2" thickTop="1" thickBot="1">
      <c r="B105" s="8" t="str">
        <f t="shared" ca="1" si="1"/>
        <v/>
      </c>
    </row>
    <row r="106" spans="2:2" thickTop="1" thickBot="1">
      <c r="B106" s="8" t="str">
        <f t="shared" ca="1" si="1"/>
        <v/>
      </c>
    </row>
    <row r="107" spans="2:2" thickTop="1" thickBot="1">
      <c r="B107" s="8" t="str">
        <f t="shared" ca="1" si="1"/>
        <v/>
      </c>
    </row>
    <row r="108" spans="2:2" thickTop="1" thickBot="1">
      <c r="B108" s="8" t="str">
        <f t="shared" ca="1" si="1"/>
        <v/>
      </c>
    </row>
    <row r="109" spans="2:2" thickTop="1" thickBot="1">
      <c r="B109" s="8" t="str">
        <f t="shared" ca="1" si="1"/>
        <v/>
      </c>
    </row>
    <row r="110" spans="2:2" thickTop="1" thickBot="1">
      <c r="B110" s="8" t="str">
        <f t="shared" ca="1" si="1"/>
        <v/>
      </c>
    </row>
    <row r="111" spans="2:2" thickTop="1" thickBot="1">
      <c r="B111" s="8" t="str">
        <f t="shared" ca="1" si="1"/>
        <v/>
      </c>
    </row>
    <row r="112" spans="2:2" thickTop="1" thickBot="1">
      <c r="B112" s="8" t="str">
        <f t="shared" ca="1" si="1"/>
        <v/>
      </c>
    </row>
    <row r="113" spans="2:2" thickTop="1" thickBot="1">
      <c r="B113" s="8" t="str">
        <f t="shared" ca="1" si="1"/>
        <v/>
      </c>
    </row>
    <row r="114" spans="2:2" thickTop="1" thickBot="1">
      <c r="B114" s="8" t="str">
        <f t="shared" ca="1" si="1"/>
        <v/>
      </c>
    </row>
    <row r="115" spans="2:2" thickTop="1" thickBot="1">
      <c r="B115" s="8" t="str">
        <f t="shared" ca="1" si="1"/>
        <v/>
      </c>
    </row>
    <row r="116" spans="2:2" thickTop="1" thickBot="1">
      <c r="B116" s="8" t="str">
        <f t="shared" ca="1" si="1"/>
        <v/>
      </c>
    </row>
    <row r="117" spans="2:2" thickTop="1" thickBot="1">
      <c r="B117" s="8" t="str">
        <f t="shared" ca="1" si="1"/>
        <v/>
      </c>
    </row>
    <row r="118" spans="2:2" thickTop="1" thickBot="1">
      <c r="B118" s="8" t="str">
        <f t="shared" ca="1" si="1"/>
        <v/>
      </c>
    </row>
    <row r="119" spans="2:2" thickTop="1" thickBot="1">
      <c r="B119" s="8" t="str">
        <f t="shared" ca="1" si="1"/>
        <v/>
      </c>
    </row>
    <row r="120" spans="2:2" thickTop="1" thickBot="1">
      <c r="B120" s="8" t="str">
        <f t="shared" ca="1" si="1"/>
        <v/>
      </c>
    </row>
    <row r="121" spans="2:2" thickTop="1" thickBot="1">
      <c r="B121" s="8" t="str">
        <f t="shared" ca="1" si="1"/>
        <v/>
      </c>
    </row>
    <row r="122" spans="2:2" thickTop="1" thickBot="1">
      <c r="B122" s="8" t="str">
        <f t="shared" ca="1" si="1"/>
        <v/>
      </c>
    </row>
    <row r="123" spans="2:2" thickTop="1" thickBot="1">
      <c r="B123" s="8" t="str">
        <f t="shared" ca="1" si="1"/>
        <v/>
      </c>
    </row>
    <row r="124" spans="2:2" thickTop="1" thickBot="1">
      <c r="B124" s="8" t="str">
        <f t="shared" ca="1" si="1"/>
        <v/>
      </c>
    </row>
    <row r="125" spans="2:2" thickTop="1" thickBot="1">
      <c r="B125" s="8" t="str">
        <f t="shared" ca="1" si="1"/>
        <v/>
      </c>
    </row>
    <row r="126" spans="2:2" thickTop="1" thickBot="1">
      <c r="B126" s="8" t="str">
        <f t="shared" ca="1" si="1"/>
        <v/>
      </c>
    </row>
    <row r="127" spans="2:2" thickTop="1" thickBot="1">
      <c r="B127" s="8" t="str">
        <f t="shared" ca="1" si="1"/>
        <v/>
      </c>
    </row>
    <row r="128" spans="2:2" thickTop="1" thickBot="1">
      <c r="B128" s="8" t="str">
        <f t="shared" ca="1" si="1"/>
        <v/>
      </c>
    </row>
    <row r="129" spans="2:2" thickTop="1" thickBot="1">
      <c r="B129" s="8" t="str">
        <f t="shared" ca="1" si="1"/>
        <v/>
      </c>
    </row>
    <row r="130" spans="2:2" thickTop="1" thickBot="1">
      <c r="B130" s="8" t="str">
        <f t="shared" ca="1" si="1"/>
        <v/>
      </c>
    </row>
    <row r="131" spans="2:2" thickTop="1" thickBot="1">
      <c r="B131" s="8" t="str">
        <f t="shared" ref="B131:B194" ca="1" si="2">IF(A131&lt;&gt;"",TODAY(),"")</f>
        <v/>
      </c>
    </row>
    <row r="132" spans="2:2" thickTop="1" thickBot="1">
      <c r="B132" s="8" t="str">
        <f t="shared" ca="1" si="2"/>
        <v/>
      </c>
    </row>
    <row r="133" spans="2:2" thickTop="1" thickBot="1">
      <c r="B133" s="8" t="str">
        <f t="shared" ca="1" si="2"/>
        <v/>
      </c>
    </row>
    <row r="134" spans="2:2" thickTop="1" thickBot="1">
      <c r="B134" s="8" t="str">
        <f t="shared" ca="1" si="2"/>
        <v/>
      </c>
    </row>
    <row r="135" spans="2:2" thickTop="1" thickBot="1">
      <c r="B135" s="8" t="str">
        <f t="shared" ca="1" si="2"/>
        <v/>
      </c>
    </row>
    <row r="136" spans="2:2" thickTop="1" thickBot="1">
      <c r="B136" s="8" t="str">
        <f t="shared" ca="1" si="2"/>
        <v/>
      </c>
    </row>
    <row r="137" spans="2:2" thickTop="1" thickBot="1">
      <c r="B137" s="8" t="str">
        <f t="shared" ca="1" si="2"/>
        <v/>
      </c>
    </row>
    <row r="138" spans="2:2" thickTop="1" thickBot="1">
      <c r="B138" s="8" t="str">
        <f t="shared" ca="1" si="2"/>
        <v/>
      </c>
    </row>
    <row r="139" spans="2:2" thickTop="1" thickBot="1">
      <c r="B139" s="8" t="str">
        <f t="shared" ca="1" si="2"/>
        <v/>
      </c>
    </row>
    <row r="140" spans="2:2" thickTop="1" thickBot="1">
      <c r="B140" s="8" t="str">
        <f t="shared" ca="1" si="2"/>
        <v/>
      </c>
    </row>
    <row r="141" spans="2:2" thickTop="1" thickBot="1">
      <c r="B141" s="8" t="str">
        <f t="shared" ca="1" si="2"/>
        <v/>
      </c>
    </row>
    <row r="142" spans="2:2" thickTop="1" thickBot="1">
      <c r="B142" s="8" t="str">
        <f t="shared" ca="1" si="2"/>
        <v/>
      </c>
    </row>
    <row r="143" spans="2:2" thickTop="1" thickBot="1">
      <c r="B143" s="8" t="str">
        <f t="shared" ca="1" si="2"/>
        <v/>
      </c>
    </row>
    <row r="144" spans="2:2" thickTop="1" thickBot="1">
      <c r="B144" s="8" t="str">
        <f t="shared" ca="1" si="2"/>
        <v/>
      </c>
    </row>
    <row r="145" spans="2:2" thickTop="1" thickBot="1">
      <c r="B145" s="8" t="str">
        <f t="shared" ca="1" si="2"/>
        <v/>
      </c>
    </row>
    <row r="146" spans="2:2" thickTop="1" thickBot="1">
      <c r="B146" s="8" t="str">
        <f t="shared" ca="1" si="2"/>
        <v/>
      </c>
    </row>
    <row r="147" spans="2:2" thickTop="1" thickBot="1">
      <c r="B147" s="8" t="str">
        <f t="shared" ca="1" si="2"/>
        <v/>
      </c>
    </row>
    <row r="148" spans="2:2" thickTop="1" thickBot="1">
      <c r="B148" s="8" t="str">
        <f t="shared" ca="1" si="2"/>
        <v/>
      </c>
    </row>
    <row r="149" spans="2:2" thickTop="1" thickBot="1">
      <c r="B149" s="8" t="str">
        <f t="shared" ca="1" si="2"/>
        <v/>
      </c>
    </row>
    <row r="150" spans="2:2" thickTop="1" thickBot="1">
      <c r="B150" s="8" t="str">
        <f t="shared" ca="1" si="2"/>
        <v/>
      </c>
    </row>
    <row r="151" spans="2:2" thickTop="1" thickBot="1">
      <c r="B151" s="8" t="str">
        <f t="shared" ca="1" si="2"/>
        <v/>
      </c>
    </row>
    <row r="152" spans="2:2" thickTop="1" thickBot="1">
      <c r="B152" s="8" t="str">
        <f t="shared" ca="1" si="2"/>
        <v/>
      </c>
    </row>
    <row r="153" spans="2:2" thickTop="1" thickBot="1">
      <c r="B153" s="8" t="str">
        <f t="shared" ca="1" si="2"/>
        <v/>
      </c>
    </row>
    <row r="154" spans="2:2" thickTop="1" thickBot="1">
      <c r="B154" s="8" t="str">
        <f t="shared" ca="1" si="2"/>
        <v/>
      </c>
    </row>
    <row r="155" spans="2:2" thickTop="1" thickBot="1">
      <c r="B155" s="8" t="str">
        <f t="shared" ca="1" si="2"/>
        <v/>
      </c>
    </row>
    <row r="156" spans="2:2" thickTop="1" thickBot="1">
      <c r="B156" s="8" t="str">
        <f t="shared" ca="1" si="2"/>
        <v/>
      </c>
    </row>
    <row r="157" spans="2:2" thickTop="1" thickBot="1">
      <c r="B157" s="8" t="str">
        <f t="shared" ca="1" si="2"/>
        <v/>
      </c>
    </row>
    <row r="158" spans="2:2" thickTop="1" thickBot="1">
      <c r="B158" s="8" t="str">
        <f t="shared" ca="1" si="2"/>
        <v/>
      </c>
    </row>
    <row r="159" spans="2:2" thickTop="1" thickBot="1">
      <c r="B159" s="8" t="str">
        <f t="shared" ca="1" si="2"/>
        <v/>
      </c>
    </row>
    <row r="160" spans="2:2" thickTop="1" thickBot="1">
      <c r="B160" s="8" t="str">
        <f t="shared" ca="1" si="2"/>
        <v/>
      </c>
    </row>
    <row r="161" spans="2:2" thickTop="1" thickBot="1">
      <c r="B161" s="8" t="str">
        <f t="shared" ca="1" si="2"/>
        <v/>
      </c>
    </row>
    <row r="162" spans="2:2" thickTop="1" thickBot="1">
      <c r="B162" s="8" t="str">
        <f t="shared" ca="1" si="2"/>
        <v/>
      </c>
    </row>
    <row r="163" spans="2:2" thickTop="1" thickBot="1">
      <c r="B163" s="8" t="str">
        <f t="shared" ca="1" si="2"/>
        <v/>
      </c>
    </row>
    <row r="164" spans="2:2" thickTop="1" thickBot="1">
      <c r="B164" s="8" t="str">
        <f t="shared" ca="1" si="2"/>
        <v/>
      </c>
    </row>
    <row r="165" spans="2:2" thickTop="1" thickBot="1">
      <c r="B165" s="8" t="str">
        <f t="shared" ca="1" si="2"/>
        <v/>
      </c>
    </row>
    <row r="166" spans="2:2" thickTop="1" thickBot="1">
      <c r="B166" s="8" t="str">
        <f t="shared" ca="1" si="2"/>
        <v/>
      </c>
    </row>
    <row r="167" spans="2:2" thickTop="1" thickBot="1">
      <c r="B167" s="8" t="str">
        <f t="shared" ca="1" si="2"/>
        <v/>
      </c>
    </row>
    <row r="168" spans="2:2" thickTop="1" thickBot="1">
      <c r="B168" s="8" t="str">
        <f t="shared" ca="1" si="2"/>
        <v/>
      </c>
    </row>
    <row r="169" spans="2:2" thickTop="1" thickBot="1">
      <c r="B169" s="8" t="str">
        <f t="shared" ca="1" si="2"/>
        <v/>
      </c>
    </row>
    <row r="170" spans="2:2" thickTop="1" thickBot="1">
      <c r="B170" s="8" t="str">
        <f t="shared" ca="1" si="2"/>
        <v/>
      </c>
    </row>
    <row r="171" spans="2:2" thickTop="1" thickBot="1">
      <c r="B171" s="8" t="str">
        <f t="shared" ca="1" si="2"/>
        <v/>
      </c>
    </row>
    <row r="172" spans="2:2" thickTop="1" thickBot="1">
      <c r="B172" s="8" t="str">
        <f t="shared" ca="1" si="2"/>
        <v/>
      </c>
    </row>
    <row r="173" spans="2:2" thickTop="1" thickBot="1">
      <c r="B173" s="8" t="str">
        <f t="shared" ca="1" si="2"/>
        <v/>
      </c>
    </row>
    <row r="174" spans="2:2" thickTop="1" thickBot="1">
      <c r="B174" s="8" t="str">
        <f t="shared" ca="1" si="2"/>
        <v/>
      </c>
    </row>
    <row r="175" spans="2:2" thickTop="1" thickBot="1">
      <c r="B175" s="8" t="str">
        <f t="shared" ca="1" si="2"/>
        <v/>
      </c>
    </row>
    <row r="176" spans="2:2" thickTop="1" thickBot="1">
      <c r="B176" s="8" t="str">
        <f t="shared" ca="1" si="2"/>
        <v/>
      </c>
    </row>
    <row r="177" spans="2:2" thickTop="1" thickBot="1">
      <c r="B177" s="8" t="str">
        <f t="shared" ca="1" si="2"/>
        <v/>
      </c>
    </row>
    <row r="178" spans="2:2" thickTop="1" thickBot="1">
      <c r="B178" s="8" t="str">
        <f t="shared" ca="1" si="2"/>
        <v/>
      </c>
    </row>
    <row r="179" spans="2:2" thickTop="1" thickBot="1">
      <c r="B179" s="8" t="str">
        <f t="shared" ca="1" si="2"/>
        <v/>
      </c>
    </row>
    <row r="180" spans="2:2" thickTop="1" thickBot="1">
      <c r="B180" s="8" t="str">
        <f t="shared" ca="1" si="2"/>
        <v/>
      </c>
    </row>
    <row r="181" spans="2:2" thickTop="1" thickBot="1">
      <c r="B181" s="8" t="str">
        <f t="shared" ca="1" si="2"/>
        <v/>
      </c>
    </row>
    <row r="182" spans="2:2" thickTop="1" thickBot="1">
      <c r="B182" s="8" t="str">
        <f t="shared" ca="1" si="2"/>
        <v/>
      </c>
    </row>
    <row r="183" spans="2:2" thickTop="1" thickBot="1">
      <c r="B183" s="8" t="str">
        <f t="shared" ca="1" si="2"/>
        <v/>
      </c>
    </row>
    <row r="184" spans="2:2" thickTop="1" thickBot="1">
      <c r="B184" s="8" t="str">
        <f t="shared" ca="1" si="2"/>
        <v/>
      </c>
    </row>
    <row r="185" spans="2:2" thickTop="1" thickBot="1">
      <c r="B185" s="8" t="str">
        <f t="shared" ca="1" si="2"/>
        <v/>
      </c>
    </row>
    <row r="186" spans="2:2" thickTop="1" thickBot="1">
      <c r="B186" s="8" t="str">
        <f t="shared" ca="1" si="2"/>
        <v/>
      </c>
    </row>
    <row r="187" spans="2:2" thickTop="1" thickBot="1">
      <c r="B187" s="8" t="str">
        <f t="shared" ca="1" si="2"/>
        <v/>
      </c>
    </row>
    <row r="188" spans="2:2" thickTop="1" thickBot="1">
      <c r="B188" s="8" t="str">
        <f t="shared" ca="1" si="2"/>
        <v/>
      </c>
    </row>
    <row r="189" spans="2:2" thickTop="1" thickBot="1">
      <c r="B189" s="8" t="str">
        <f t="shared" ca="1" si="2"/>
        <v/>
      </c>
    </row>
    <row r="190" spans="2:2" thickTop="1" thickBot="1">
      <c r="B190" s="8" t="str">
        <f t="shared" ca="1" si="2"/>
        <v/>
      </c>
    </row>
    <row r="191" spans="2:2" thickTop="1" thickBot="1">
      <c r="B191" s="8" t="str">
        <f t="shared" ca="1" si="2"/>
        <v/>
      </c>
    </row>
    <row r="192" spans="2:2" thickTop="1" thickBot="1">
      <c r="B192" s="8" t="str">
        <f t="shared" ca="1" si="2"/>
        <v/>
      </c>
    </row>
    <row r="193" spans="2:2" thickTop="1" thickBot="1">
      <c r="B193" s="8" t="str">
        <f t="shared" ca="1" si="2"/>
        <v/>
      </c>
    </row>
    <row r="194" spans="2:2" thickTop="1" thickBot="1">
      <c r="B194" s="8" t="str">
        <f t="shared" ca="1" si="2"/>
        <v/>
      </c>
    </row>
    <row r="195" spans="2:2" thickTop="1" thickBot="1">
      <c r="B195" s="8" t="str">
        <f t="shared" ref="B195:B258" ca="1" si="3">IF(A195&lt;&gt;"",TODAY(),"")</f>
        <v/>
      </c>
    </row>
    <row r="196" spans="2:2" thickTop="1" thickBot="1">
      <c r="B196" s="8" t="str">
        <f t="shared" ca="1" si="3"/>
        <v/>
      </c>
    </row>
    <row r="197" spans="2:2" thickTop="1" thickBot="1">
      <c r="B197" s="8" t="str">
        <f t="shared" ca="1" si="3"/>
        <v/>
      </c>
    </row>
    <row r="198" spans="2:2" thickTop="1" thickBot="1">
      <c r="B198" s="8" t="str">
        <f t="shared" ca="1" si="3"/>
        <v/>
      </c>
    </row>
    <row r="199" spans="2:2" thickTop="1" thickBot="1">
      <c r="B199" s="8" t="str">
        <f t="shared" ca="1" si="3"/>
        <v/>
      </c>
    </row>
    <row r="200" spans="2:2" thickTop="1" thickBot="1">
      <c r="B200" s="8" t="str">
        <f t="shared" ca="1" si="3"/>
        <v/>
      </c>
    </row>
    <row r="201" spans="2:2" thickTop="1" thickBot="1">
      <c r="B201" s="8" t="str">
        <f t="shared" ca="1" si="3"/>
        <v/>
      </c>
    </row>
    <row r="202" spans="2:2" thickTop="1" thickBot="1">
      <c r="B202" s="8" t="str">
        <f t="shared" ca="1" si="3"/>
        <v/>
      </c>
    </row>
    <row r="203" spans="2:2" thickTop="1" thickBot="1">
      <c r="B203" s="8" t="str">
        <f t="shared" ca="1" si="3"/>
        <v/>
      </c>
    </row>
    <row r="204" spans="2:2" thickTop="1" thickBot="1">
      <c r="B204" s="8" t="str">
        <f t="shared" ca="1" si="3"/>
        <v/>
      </c>
    </row>
    <row r="205" spans="2:2" thickTop="1" thickBot="1">
      <c r="B205" s="8" t="str">
        <f t="shared" ca="1" si="3"/>
        <v/>
      </c>
    </row>
    <row r="206" spans="2:2" thickTop="1" thickBot="1">
      <c r="B206" s="8" t="str">
        <f t="shared" ca="1" si="3"/>
        <v/>
      </c>
    </row>
    <row r="207" spans="2:2" thickTop="1" thickBot="1">
      <c r="B207" s="8" t="str">
        <f t="shared" ca="1" si="3"/>
        <v/>
      </c>
    </row>
    <row r="208" spans="2:2" thickTop="1" thickBot="1">
      <c r="B208" s="8" t="str">
        <f t="shared" ca="1" si="3"/>
        <v/>
      </c>
    </row>
    <row r="209" spans="2:2" thickTop="1" thickBot="1">
      <c r="B209" s="8" t="str">
        <f t="shared" ca="1" si="3"/>
        <v/>
      </c>
    </row>
    <row r="210" spans="2:2" thickTop="1" thickBot="1">
      <c r="B210" s="8" t="str">
        <f t="shared" ca="1" si="3"/>
        <v/>
      </c>
    </row>
    <row r="211" spans="2:2" thickTop="1" thickBot="1">
      <c r="B211" s="8" t="str">
        <f t="shared" ca="1" si="3"/>
        <v/>
      </c>
    </row>
    <row r="212" spans="2:2" thickTop="1" thickBot="1">
      <c r="B212" s="8" t="str">
        <f t="shared" ca="1" si="3"/>
        <v/>
      </c>
    </row>
    <row r="213" spans="2:2" thickTop="1" thickBot="1">
      <c r="B213" s="8" t="str">
        <f t="shared" ca="1" si="3"/>
        <v/>
      </c>
    </row>
    <row r="214" spans="2:2" thickTop="1" thickBot="1">
      <c r="B214" s="8" t="str">
        <f t="shared" ca="1" si="3"/>
        <v/>
      </c>
    </row>
    <row r="215" spans="2:2" thickTop="1" thickBot="1">
      <c r="B215" s="8" t="str">
        <f t="shared" ca="1" si="3"/>
        <v/>
      </c>
    </row>
    <row r="216" spans="2:2" thickTop="1" thickBot="1">
      <c r="B216" s="8" t="str">
        <f t="shared" ca="1" si="3"/>
        <v/>
      </c>
    </row>
    <row r="217" spans="2:2" thickTop="1" thickBot="1">
      <c r="B217" s="8" t="str">
        <f t="shared" ca="1" si="3"/>
        <v/>
      </c>
    </row>
    <row r="218" spans="2:2" thickTop="1" thickBot="1">
      <c r="B218" s="8" t="str">
        <f t="shared" ca="1" si="3"/>
        <v/>
      </c>
    </row>
    <row r="219" spans="2:2" thickTop="1" thickBot="1">
      <c r="B219" s="8" t="str">
        <f t="shared" ca="1" si="3"/>
        <v/>
      </c>
    </row>
    <row r="220" spans="2:2" thickTop="1" thickBot="1">
      <c r="B220" s="8" t="str">
        <f t="shared" ca="1" si="3"/>
        <v/>
      </c>
    </row>
    <row r="221" spans="2:2" thickTop="1" thickBot="1">
      <c r="B221" s="8" t="str">
        <f t="shared" ca="1" si="3"/>
        <v/>
      </c>
    </row>
    <row r="222" spans="2:2" thickTop="1" thickBot="1">
      <c r="B222" s="8" t="str">
        <f t="shared" ca="1" si="3"/>
        <v/>
      </c>
    </row>
    <row r="223" spans="2:2" thickTop="1" thickBot="1">
      <c r="B223" s="8" t="str">
        <f t="shared" ca="1" si="3"/>
        <v/>
      </c>
    </row>
    <row r="224" spans="2:2" thickTop="1" thickBot="1">
      <c r="B224" s="8" t="str">
        <f t="shared" ca="1" si="3"/>
        <v/>
      </c>
    </row>
    <row r="225" spans="2:2" thickTop="1" thickBot="1">
      <c r="B225" s="8" t="str">
        <f t="shared" ca="1" si="3"/>
        <v/>
      </c>
    </row>
    <row r="226" spans="2:2" thickTop="1" thickBot="1">
      <c r="B226" s="8" t="str">
        <f t="shared" ca="1" si="3"/>
        <v/>
      </c>
    </row>
    <row r="227" spans="2:2" thickTop="1" thickBot="1">
      <c r="B227" s="8" t="str">
        <f t="shared" ca="1" si="3"/>
        <v/>
      </c>
    </row>
    <row r="228" spans="2:2" thickTop="1" thickBot="1">
      <c r="B228" s="8" t="str">
        <f t="shared" ca="1" si="3"/>
        <v/>
      </c>
    </row>
    <row r="229" spans="2:2" thickTop="1" thickBot="1">
      <c r="B229" s="8" t="str">
        <f t="shared" ca="1" si="3"/>
        <v/>
      </c>
    </row>
    <row r="230" spans="2:2" thickTop="1" thickBot="1">
      <c r="B230" s="8" t="str">
        <f t="shared" ca="1" si="3"/>
        <v/>
      </c>
    </row>
    <row r="231" spans="2:2" thickTop="1" thickBot="1">
      <c r="B231" s="8" t="str">
        <f t="shared" ca="1" si="3"/>
        <v/>
      </c>
    </row>
    <row r="232" spans="2:2" thickTop="1" thickBot="1">
      <c r="B232" s="8" t="str">
        <f t="shared" ca="1" si="3"/>
        <v/>
      </c>
    </row>
    <row r="233" spans="2:2" thickTop="1" thickBot="1">
      <c r="B233" s="8" t="str">
        <f t="shared" ca="1" si="3"/>
        <v/>
      </c>
    </row>
    <row r="234" spans="2:2" thickTop="1" thickBot="1">
      <c r="B234" s="8" t="str">
        <f t="shared" ca="1" si="3"/>
        <v/>
      </c>
    </row>
    <row r="235" spans="2:2" thickTop="1" thickBot="1">
      <c r="B235" s="8" t="str">
        <f t="shared" ca="1" si="3"/>
        <v/>
      </c>
    </row>
    <row r="236" spans="2:2" thickTop="1" thickBot="1">
      <c r="B236" s="8" t="str">
        <f t="shared" ca="1" si="3"/>
        <v/>
      </c>
    </row>
    <row r="237" spans="2:2" thickTop="1" thickBot="1">
      <c r="B237" s="8" t="str">
        <f t="shared" ca="1" si="3"/>
        <v/>
      </c>
    </row>
    <row r="238" spans="2:2" thickTop="1" thickBot="1">
      <c r="B238" s="8" t="str">
        <f t="shared" ca="1" si="3"/>
        <v/>
      </c>
    </row>
    <row r="239" spans="2:2" thickTop="1" thickBot="1">
      <c r="B239" s="8" t="str">
        <f t="shared" ca="1" si="3"/>
        <v/>
      </c>
    </row>
    <row r="240" spans="2:2" thickTop="1" thickBot="1">
      <c r="B240" s="8" t="str">
        <f t="shared" ca="1" si="3"/>
        <v/>
      </c>
    </row>
    <row r="241" spans="2:2" thickTop="1" thickBot="1">
      <c r="B241" s="8" t="str">
        <f t="shared" ca="1" si="3"/>
        <v/>
      </c>
    </row>
    <row r="242" spans="2:2" thickTop="1" thickBot="1">
      <c r="B242" s="8" t="str">
        <f t="shared" ca="1" si="3"/>
        <v/>
      </c>
    </row>
    <row r="243" spans="2:2" thickTop="1" thickBot="1">
      <c r="B243" s="8" t="str">
        <f t="shared" ca="1" si="3"/>
        <v/>
      </c>
    </row>
    <row r="244" spans="2:2" thickTop="1" thickBot="1">
      <c r="B244" s="8" t="str">
        <f t="shared" ca="1" si="3"/>
        <v/>
      </c>
    </row>
    <row r="245" spans="2:2" thickTop="1" thickBot="1">
      <c r="B245" s="8" t="str">
        <f t="shared" ca="1" si="3"/>
        <v/>
      </c>
    </row>
    <row r="246" spans="2:2" thickTop="1" thickBot="1">
      <c r="B246" s="8" t="str">
        <f t="shared" ca="1" si="3"/>
        <v/>
      </c>
    </row>
    <row r="247" spans="2:2" thickTop="1" thickBot="1">
      <c r="B247" s="8" t="str">
        <f t="shared" ca="1" si="3"/>
        <v/>
      </c>
    </row>
    <row r="248" spans="2:2" thickTop="1" thickBot="1">
      <c r="B248" s="8" t="str">
        <f t="shared" ca="1" si="3"/>
        <v/>
      </c>
    </row>
    <row r="249" spans="2:2" thickTop="1" thickBot="1">
      <c r="B249" s="8" t="str">
        <f t="shared" ca="1" si="3"/>
        <v/>
      </c>
    </row>
    <row r="250" spans="2:2" thickTop="1" thickBot="1">
      <c r="B250" s="8" t="str">
        <f t="shared" ca="1" si="3"/>
        <v/>
      </c>
    </row>
    <row r="251" spans="2:2" thickTop="1" thickBot="1">
      <c r="B251" s="8" t="str">
        <f t="shared" ca="1" si="3"/>
        <v/>
      </c>
    </row>
    <row r="252" spans="2:2" thickTop="1" thickBot="1">
      <c r="B252" s="8" t="str">
        <f t="shared" ca="1" si="3"/>
        <v/>
      </c>
    </row>
    <row r="253" spans="2:2" thickTop="1" thickBot="1">
      <c r="B253" s="8" t="str">
        <f t="shared" ca="1" si="3"/>
        <v/>
      </c>
    </row>
    <row r="254" spans="2:2" thickTop="1" thickBot="1">
      <c r="B254" s="8" t="str">
        <f t="shared" ca="1" si="3"/>
        <v/>
      </c>
    </row>
    <row r="255" spans="2:2" thickTop="1" thickBot="1">
      <c r="B255" s="8" t="str">
        <f t="shared" ca="1" si="3"/>
        <v/>
      </c>
    </row>
    <row r="256" spans="2:2" thickTop="1" thickBot="1">
      <c r="B256" s="8" t="str">
        <f t="shared" ca="1" si="3"/>
        <v/>
      </c>
    </row>
    <row r="257" spans="2:2" thickTop="1" thickBot="1">
      <c r="B257" s="8" t="str">
        <f t="shared" ca="1" si="3"/>
        <v/>
      </c>
    </row>
    <row r="258" spans="2:2" thickTop="1" thickBot="1">
      <c r="B258" s="8" t="str">
        <f t="shared" ca="1" si="3"/>
        <v/>
      </c>
    </row>
    <row r="259" spans="2:2" thickTop="1" thickBot="1">
      <c r="B259" s="8" t="str">
        <f t="shared" ref="B259:B322" ca="1" si="4">IF(A259&lt;&gt;"",TODAY(),"")</f>
        <v/>
      </c>
    </row>
    <row r="260" spans="2:2" thickTop="1" thickBot="1">
      <c r="B260" s="8" t="str">
        <f t="shared" ca="1" si="4"/>
        <v/>
      </c>
    </row>
    <row r="261" spans="2:2" thickTop="1" thickBot="1">
      <c r="B261" s="8" t="str">
        <f t="shared" ca="1" si="4"/>
        <v/>
      </c>
    </row>
    <row r="262" spans="2:2" thickTop="1" thickBot="1">
      <c r="B262" s="8" t="str">
        <f t="shared" ca="1" si="4"/>
        <v/>
      </c>
    </row>
    <row r="263" spans="2:2" thickTop="1" thickBot="1">
      <c r="B263" s="8" t="str">
        <f t="shared" ca="1" si="4"/>
        <v/>
      </c>
    </row>
    <row r="264" spans="2:2" thickTop="1" thickBot="1">
      <c r="B264" s="8" t="str">
        <f t="shared" ca="1" si="4"/>
        <v/>
      </c>
    </row>
    <row r="265" spans="2:2" thickTop="1" thickBot="1">
      <c r="B265" s="8" t="str">
        <f t="shared" ca="1" si="4"/>
        <v/>
      </c>
    </row>
    <row r="266" spans="2:2" thickTop="1" thickBot="1">
      <c r="B266" s="8" t="str">
        <f t="shared" ca="1" si="4"/>
        <v/>
      </c>
    </row>
    <row r="267" spans="2:2" thickTop="1" thickBot="1">
      <c r="B267" s="8" t="str">
        <f t="shared" ca="1" si="4"/>
        <v/>
      </c>
    </row>
    <row r="268" spans="2:2" thickTop="1" thickBot="1">
      <c r="B268" s="8" t="str">
        <f t="shared" ca="1" si="4"/>
        <v/>
      </c>
    </row>
    <row r="269" spans="2:2" thickTop="1" thickBot="1">
      <c r="B269" s="8" t="str">
        <f t="shared" ca="1" si="4"/>
        <v/>
      </c>
    </row>
    <row r="270" spans="2:2" thickTop="1" thickBot="1">
      <c r="B270" s="8" t="str">
        <f t="shared" ca="1" si="4"/>
        <v/>
      </c>
    </row>
    <row r="271" spans="2:2" thickTop="1" thickBot="1">
      <c r="B271" s="8" t="str">
        <f t="shared" ca="1" si="4"/>
        <v/>
      </c>
    </row>
    <row r="272" spans="2:2" thickTop="1" thickBot="1">
      <c r="B272" s="8" t="str">
        <f t="shared" ca="1" si="4"/>
        <v/>
      </c>
    </row>
    <row r="273" spans="2:2" thickTop="1" thickBot="1">
      <c r="B273" s="8" t="str">
        <f t="shared" ca="1" si="4"/>
        <v/>
      </c>
    </row>
    <row r="274" spans="2:2" thickTop="1" thickBot="1">
      <c r="B274" s="8" t="str">
        <f t="shared" ca="1" si="4"/>
        <v/>
      </c>
    </row>
    <row r="275" spans="2:2" thickTop="1" thickBot="1">
      <c r="B275" s="8" t="str">
        <f t="shared" ca="1" si="4"/>
        <v/>
      </c>
    </row>
    <row r="276" spans="2:2" thickTop="1" thickBot="1">
      <c r="B276" s="8" t="str">
        <f t="shared" ca="1" si="4"/>
        <v/>
      </c>
    </row>
    <row r="277" spans="2:2" thickTop="1" thickBot="1">
      <c r="B277" s="8" t="str">
        <f t="shared" ca="1" si="4"/>
        <v/>
      </c>
    </row>
    <row r="278" spans="2:2" thickTop="1" thickBot="1">
      <c r="B278" s="8" t="str">
        <f t="shared" ca="1" si="4"/>
        <v/>
      </c>
    </row>
    <row r="279" spans="2:2" thickTop="1" thickBot="1">
      <c r="B279" s="8" t="str">
        <f t="shared" ca="1" si="4"/>
        <v/>
      </c>
    </row>
    <row r="280" spans="2:2" thickTop="1" thickBot="1">
      <c r="B280" s="8" t="str">
        <f t="shared" ca="1" si="4"/>
        <v/>
      </c>
    </row>
    <row r="281" spans="2:2" thickTop="1" thickBot="1">
      <c r="B281" s="8" t="str">
        <f t="shared" ca="1" si="4"/>
        <v/>
      </c>
    </row>
    <row r="282" spans="2:2" thickTop="1" thickBot="1">
      <c r="B282" s="8" t="str">
        <f t="shared" ca="1" si="4"/>
        <v/>
      </c>
    </row>
    <row r="283" spans="2:2" thickTop="1" thickBot="1">
      <c r="B283" s="8" t="str">
        <f t="shared" ca="1" si="4"/>
        <v/>
      </c>
    </row>
    <row r="284" spans="2:2" thickTop="1" thickBot="1">
      <c r="B284" s="8" t="str">
        <f t="shared" ca="1" si="4"/>
        <v/>
      </c>
    </row>
    <row r="285" spans="2:2" thickTop="1" thickBot="1">
      <c r="B285" s="8" t="str">
        <f t="shared" ca="1" si="4"/>
        <v/>
      </c>
    </row>
    <row r="286" spans="2:2" thickTop="1" thickBot="1">
      <c r="B286" s="8" t="str">
        <f t="shared" ca="1" si="4"/>
        <v/>
      </c>
    </row>
    <row r="287" spans="2:2" thickTop="1" thickBot="1">
      <c r="B287" s="8" t="str">
        <f t="shared" ca="1" si="4"/>
        <v/>
      </c>
    </row>
    <row r="288" spans="2:2" thickTop="1" thickBot="1">
      <c r="B288" s="8" t="str">
        <f t="shared" ca="1" si="4"/>
        <v/>
      </c>
    </row>
    <row r="289" spans="2:2" thickTop="1" thickBot="1">
      <c r="B289" s="8" t="str">
        <f t="shared" ca="1" si="4"/>
        <v/>
      </c>
    </row>
    <row r="290" spans="2:2" thickTop="1" thickBot="1">
      <c r="B290" s="8" t="str">
        <f t="shared" ca="1" si="4"/>
        <v/>
      </c>
    </row>
    <row r="291" spans="2:2" thickTop="1" thickBot="1">
      <c r="B291" s="8" t="str">
        <f t="shared" ca="1" si="4"/>
        <v/>
      </c>
    </row>
    <row r="292" spans="2:2" thickTop="1" thickBot="1">
      <c r="B292" s="8" t="str">
        <f t="shared" ca="1" si="4"/>
        <v/>
      </c>
    </row>
    <row r="293" spans="2:2" thickTop="1" thickBot="1">
      <c r="B293" s="8" t="str">
        <f t="shared" ca="1" si="4"/>
        <v/>
      </c>
    </row>
    <row r="294" spans="2:2" thickTop="1" thickBot="1">
      <c r="B294" s="8" t="str">
        <f t="shared" ca="1" si="4"/>
        <v/>
      </c>
    </row>
    <row r="295" spans="2:2" thickTop="1" thickBot="1">
      <c r="B295" s="8" t="str">
        <f t="shared" ca="1" si="4"/>
        <v/>
      </c>
    </row>
    <row r="296" spans="2:2" thickTop="1" thickBot="1">
      <c r="B296" s="8" t="str">
        <f t="shared" ca="1" si="4"/>
        <v/>
      </c>
    </row>
    <row r="297" spans="2:2" thickTop="1" thickBot="1">
      <c r="B297" s="8" t="str">
        <f t="shared" ca="1" si="4"/>
        <v/>
      </c>
    </row>
    <row r="298" spans="2:2" thickTop="1" thickBot="1">
      <c r="B298" s="8" t="str">
        <f t="shared" ca="1" si="4"/>
        <v/>
      </c>
    </row>
    <row r="299" spans="2:2" thickTop="1" thickBot="1">
      <c r="B299" s="8" t="str">
        <f t="shared" ca="1" si="4"/>
        <v/>
      </c>
    </row>
    <row r="300" spans="2:2" thickTop="1" thickBot="1">
      <c r="B300" s="8" t="str">
        <f t="shared" ca="1" si="4"/>
        <v/>
      </c>
    </row>
    <row r="301" spans="2:2" thickTop="1" thickBot="1">
      <c r="B301" s="8" t="str">
        <f t="shared" ca="1" si="4"/>
        <v/>
      </c>
    </row>
    <row r="302" spans="2:2" thickTop="1" thickBot="1">
      <c r="B302" s="8" t="str">
        <f t="shared" ca="1" si="4"/>
        <v/>
      </c>
    </row>
    <row r="303" spans="2:2" thickTop="1" thickBot="1">
      <c r="B303" s="8" t="str">
        <f t="shared" ca="1" si="4"/>
        <v/>
      </c>
    </row>
    <row r="304" spans="2:2" thickTop="1" thickBot="1">
      <c r="B304" s="8" t="str">
        <f t="shared" ca="1" si="4"/>
        <v/>
      </c>
    </row>
    <row r="305" spans="2:2" thickTop="1" thickBot="1">
      <c r="B305" s="8" t="str">
        <f t="shared" ca="1" si="4"/>
        <v/>
      </c>
    </row>
    <row r="306" spans="2:2" thickTop="1" thickBot="1">
      <c r="B306" s="8" t="str">
        <f t="shared" ca="1" si="4"/>
        <v/>
      </c>
    </row>
    <row r="307" spans="2:2" thickTop="1" thickBot="1">
      <c r="B307" s="8" t="str">
        <f t="shared" ca="1" si="4"/>
        <v/>
      </c>
    </row>
    <row r="308" spans="2:2" thickTop="1" thickBot="1">
      <c r="B308" s="8" t="str">
        <f t="shared" ca="1" si="4"/>
        <v/>
      </c>
    </row>
    <row r="309" spans="2:2" thickTop="1" thickBot="1">
      <c r="B309" s="8" t="str">
        <f t="shared" ca="1" si="4"/>
        <v/>
      </c>
    </row>
    <row r="310" spans="2:2" thickTop="1" thickBot="1">
      <c r="B310" s="8" t="str">
        <f t="shared" ca="1" si="4"/>
        <v/>
      </c>
    </row>
    <row r="311" spans="2:2" thickTop="1" thickBot="1">
      <c r="B311" s="8" t="str">
        <f t="shared" ca="1" si="4"/>
        <v/>
      </c>
    </row>
    <row r="312" spans="2:2" thickTop="1" thickBot="1">
      <c r="B312" s="8" t="str">
        <f t="shared" ca="1" si="4"/>
        <v/>
      </c>
    </row>
    <row r="313" spans="2:2" thickTop="1" thickBot="1">
      <c r="B313" s="8" t="str">
        <f t="shared" ca="1" si="4"/>
        <v/>
      </c>
    </row>
    <row r="314" spans="2:2" thickTop="1" thickBot="1">
      <c r="B314" s="8" t="str">
        <f t="shared" ca="1" si="4"/>
        <v/>
      </c>
    </row>
    <row r="315" spans="2:2" thickTop="1" thickBot="1">
      <c r="B315" s="8" t="str">
        <f t="shared" ca="1" si="4"/>
        <v/>
      </c>
    </row>
    <row r="316" spans="2:2" thickTop="1" thickBot="1">
      <c r="B316" s="8" t="str">
        <f t="shared" ca="1" si="4"/>
        <v/>
      </c>
    </row>
    <row r="317" spans="2:2" thickTop="1" thickBot="1">
      <c r="B317" s="8" t="str">
        <f t="shared" ca="1" si="4"/>
        <v/>
      </c>
    </row>
    <row r="318" spans="2:2" thickTop="1" thickBot="1">
      <c r="B318" s="8" t="str">
        <f t="shared" ca="1" si="4"/>
        <v/>
      </c>
    </row>
    <row r="319" spans="2:2" thickTop="1" thickBot="1">
      <c r="B319" s="8" t="str">
        <f t="shared" ca="1" si="4"/>
        <v/>
      </c>
    </row>
    <row r="320" spans="2:2" thickTop="1" thickBot="1">
      <c r="B320" s="8" t="str">
        <f t="shared" ca="1" si="4"/>
        <v/>
      </c>
    </row>
    <row r="321" spans="2:2" thickTop="1" thickBot="1">
      <c r="B321" s="8" t="str">
        <f t="shared" ca="1" si="4"/>
        <v/>
      </c>
    </row>
    <row r="322" spans="2:2" thickTop="1" thickBot="1">
      <c r="B322" s="8" t="str">
        <f t="shared" ca="1" si="4"/>
        <v/>
      </c>
    </row>
    <row r="323" spans="2:2" thickTop="1" thickBot="1">
      <c r="B323" s="8" t="str">
        <f t="shared" ref="B323:B386" ca="1" si="5">IF(A323&lt;&gt;"",TODAY(),"")</f>
        <v/>
      </c>
    </row>
    <row r="324" spans="2:2" thickTop="1" thickBot="1">
      <c r="B324" s="8" t="str">
        <f t="shared" ca="1" si="5"/>
        <v/>
      </c>
    </row>
    <row r="325" spans="2:2" thickTop="1" thickBot="1">
      <c r="B325" s="8" t="str">
        <f t="shared" ca="1" si="5"/>
        <v/>
      </c>
    </row>
    <row r="326" spans="2:2" thickTop="1" thickBot="1">
      <c r="B326" s="8" t="str">
        <f t="shared" ca="1" si="5"/>
        <v/>
      </c>
    </row>
    <row r="327" spans="2:2" thickTop="1" thickBot="1">
      <c r="B327" s="8" t="str">
        <f t="shared" ca="1" si="5"/>
        <v/>
      </c>
    </row>
    <row r="328" spans="2:2" thickTop="1" thickBot="1">
      <c r="B328" s="8" t="str">
        <f t="shared" ca="1" si="5"/>
        <v/>
      </c>
    </row>
    <row r="329" spans="2:2" thickTop="1" thickBot="1">
      <c r="B329" s="8" t="str">
        <f t="shared" ca="1" si="5"/>
        <v/>
      </c>
    </row>
    <row r="330" spans="2:2" thickTop="1" thickBot="1">
      <c r="B330" s="8" t="str">
        <f t="shared" ca="1" si="5"/>
        <v/>
      </c>
    </row>
    <row r="331" spans="2:2" thickTop="1" thickBot="1">
      <c r="B331" s="8" t="str">
        <f t="shared" ca="1" si="5"/>
        <v/>
      </c>
    </row>
    <row r="332" spans="2:2" thickTop="1" thickBot="1">
      <c r="B332" s="8" t="str">
        <f t="shared" ca="1" si="5"/>
        <v/>
      </c>
    </row>
    <row r="333" spans="2:2" thickTop="1" thickBot="1">
      <c r="B333" s="8" t="str">
        <f t="shared" ca="1" si="5"/>
        <v/>
      </c>
    </row>
    <row r="334" spans="2:2" thickTop="1" thickBot="1">
      <c r="B334" s="8" t="str">
        <f t="shared" ca="1" si="5"/>
        <v/>
      </c>
    </row>
    <row r="335" spans="2:2" thickTop="1" thickBot="1">
      <c r="B335" s="8" t="str">
        <f t="shared" ca="1" si="5"/>
        <v/>
      </c>
    </row>
    <row r="336" spans="2:2" thickTop="1" thickBot="1">
      <c r="B336" s="8" t="str">
        <f t="shared" ca="1" si="5"/>
        <v/>
      </c>
    </row>
    <row r="337" spans="2:2" thickTop="1" thickBot="1">
      <c r="B337" s="8" t="str">
        <f t="shared" ca="1" si="5"/>
        <v/>
      </c>
    </row>
    <row r="338" spans="2:2" thickTop="1" thickBot="1">
      <c r="B338" s="8" t="str">
        <f t="shared" ca="1" si="5"/>
        <v/>
      </c>
    </row>
    <row r="339" spans="2:2" thickTop="1" thickBot="1">
      <c r="B339" s="8" t="str">
        <f t="shared" ca="1" si="5"/>
        <v/>
      </c>
    </row>
    <row r="340" spans="2:2" thickTop="1" thickBot="1">
      <c r="B340" s="8" t="str">
        <f t="shared" ca="1" si="5"/>
        <v/>
      </c>
    </row>
    <row r="341" spans="2:2" thickTop="1" thickBot="1">
      <c r="B341" s="8" t="str">
        <f t="shared" ca="1" si="5"/>
        <v/>
      </c>
    </row>
    <row r="342" spans="2:2" thickTop="1" thickBot="1">
      <c r="B342" s="8" t="str">
        <f t="shared" ca="1" si="5"/>
        <v/>
      </c>
    </row>
    <row r="343" spans="2:2" thickTop="1" thickBot="1">
      <c r="B343" s="8" t="str">
        <f t="shared" ca="1" si="5"/>
        <v/>
      </c>
    </row>
    <row r="344" spans="2:2" thickTop="1" thickBot="1">
      <c r="B344" s="8" t="str">
        <f t="shared" ca="1" si="5"/>
        <v/>
      </c>
    </row>
    <row r="345" spans="2:2" thickTop="1" thickBot="1">
      <c r="B345" s="8" t="str">
        <f t="shared" ca="1" si="5"/>
        <v/>
      </c>
    </row>
    <row r="346" spans="2:2" thickTop="1" thickBot="1">
      <c r="B346" s="8" t="str">
        <f t="shared" ca="1" si="5"/>
        <v/>
      </c>
    </row>
    <row r="347" spans="2:2" thickTop="1" thickBot="1">
      <c r="B347" s="8" t="str">
        <f t="shared" ca="1" si="5"/>
        <v/>
      </c>
    </row>
    <row r="348" spans="2:2" thickTop="1" thickBot="1">
      <c r="B348" s="8" t="str">
        <f t="shared" ca="1" si="5"/>
        <v/>
      </c>
    </row>
    <row r="349" spans="2:2" thickTop="1" thickBot="1">
      <c r="B349" s="8" t="str">
        <f t="shared" ca="1" si="5"/>
        <v/>
      </c>
    </row>
    <row r="350" spans="2:2" thickTop="1" thickBot="1">
      <c r="B350" s="8" t="str">
        <f t="shared" ca="1" si="5"/>
        <v/>
      </c>
    </row>
    <row r="351" spans="2:2" thickTop="1" thickBot="1">
      <c r="B351" s="8" t="str">
        <f t="shared" ca="1" si="5"/>
        <v/>
      </c>
    </row>
    <row r="352" spans="2:2" thickTop="1" thickBot="1">
      <c r="B352" s="8" t="str">
        <f t="shared" ca="1" si="5"/>
        <v/>
      </c>
    </row>
    <row r="353" spans="2:2" thickTop="1" thickBot="1">
      <c r="B353" s="8" t="str">
        <f t="shared" ca="1" si="5"/>
        <v/>
      </c>
    </row>
    <row r="354" spans="2:2" thickTop="1" thickBot="1">
      <c r="B354" s="8" t="str">
        <f t="shared" ca="1" si="5"/>
        <v/>
      </c>
    </row>
    <row r="355" spans="2:2" thickTop="1" thickBot="1">
      <c r="B355" s="8" t="str">
        <f t="shared" ca="1" si="5"/>
        <v/>
      </c>
    </row>
    <row r="356" spans="2:2" thickTop="1" thickBot="1">
      <c r="B356" s="8" t="str">
        <f t="shared" ca="1" si="5"/>
        <v/>
      </c>
    </row>
    <row r="357" spans="2:2" thickTop="1" thickBot="1">
      <c r="B357" s="8" t="str">
        <f t="shared" ca="1" si="5"/>
        <v/>
      </c>
    </row>
    <row r="358" spans="2:2" thickTop="1" thickBot="1">
      <c r="B358" s="8" t="str">
        <f t="shared" ca="1" si="5"/>
        <v/>
      </c>
    </row>
    <row r="359" spans="2:2" thickTop="1" thickBot="1">
      <c r="B359" s="8" t="str">
        <f t="shared" ca="1" si="5"/>
        <v/>
      </c>
    </row>
    <row r="360" spans="2:2" thickTop="1" thickBot="1">
      <c r="B360" s="8" t="str">
        <f t="shared" ca="1" si="5"/>
        <v/>
      </c>
    </row>
    <row r="361" spans="2:2" thickTop="1" thickBot="1">
      <c r="B361" s="8" t="str">
        <f t="shared" ca="1" si="5"/>
        <v/>
      </c>
    </row>
    <row r="362" spans="2:2" thickTop="1" thickBot="1">
      <c r="B362" s="8" t="str">
        <f t="shared" ca="1" si="5"/>
        <v/>
      </c>
    </row>
    <row r="363" spans="2:2" thickTop="1" thickBot="1">
      <c r="B363" s="8" t="str">
        <f t="shared" ca="1" si="5"/>
        <v/>
      </c>
    </row>
    <row r="364" spans="2:2" thickTop="1" thickBot="1">
      <c r="B364" s="8" t="str">
        <f t="shared" ca="1" si="5"/>
        <v/>
      </c>
    </row>
    <row r="365" spans="2:2" thickTop="1" thickBot="1">
      <c r="B365" s="8" t="str">
        <f t="shared" ca="1" si="5"/>
        <v/>
      </c>
    </row>
    <row r="366" spans="2:2" thickTop="1" thickBot="1">
      <c r="B366" s="8" t="str">
        <f t="shared" ca="1" si="5"/>
        <v/>
      </c>
    </row>
    <row r="367" spans="2:2" thickTop="1" thickBot="1">
      <c r="B367" s="8" t="str">
        <f t="shared" ca="1" si="5"/>
        <v/>
      </c>
    </row>
    <row r="368" spans="2:2" thickTop="1" thickBot="1">
      <c r="B368" s="8" t="str">
        <f t="shared" ca="1" si="5"/>
        <v/>
      </c>
    </row>
    <row r="369" spans="2:2" thickTop="1" thickBot="1">
      <c r="B369" s="8" t="str">
        <f t="shared" ca="1" si="5"/>
        <v/>
      </c>
    </row>
    <row r="370" spans="2:2" thickTop="1" thickBot="1">
      <c r="B370" s="8" t="str">
        <f t="shared" ca="1" si="5"/>
        <v/>
      </c>
    </row>
    <row r="371" spans="2:2" thickTop="1" thickBot="1">
      <c r="B371" s="8" t="str">
        <f t="shared" ca="1" si="5"/>
        <v/>
      </c>
    </row>
    <row r="372" spans="2:2" thickTop="1" thickBot="1">
      <c r="B372" s="8" t="str">
        <f t="shared" ca="1" si="5"/>
        <v/>
      </c>
    </row>
    <row r="373" spans="2:2" thickTop="1" thickBot="1">
      <c r="B373" s="8" t="str">
        <f t="shared" ca="1" si="5"/>
        <v/>
      </c>
    </row>
    <row r="374" spans="2:2" thickTop="1" thickBot="1">
      <c r="B374" s="8" t="str">
        <f t="shared" ca="1" si="5"/>
        <v/>
      </c>
    </row>
    <row r="375" spans="2:2" thickTop="1" thickBot="1">
      <c r="B375" s="8" t="str">
        <f t="shared" ca="1" si="5"/>
        <v/>
      </c>
    </row>
    <row r="376" spans="2:2" thickTop="1" thickBot="1">
      <c r="B376" s="8" t="str">
        <f t="shared" ca="1" si="5"/>
        <v/>
      </c>
    </row>
    <row r="377" spans="2:2" thickTop="1" thickBot="1">
      <c r="B377" s="8" t="str">
        <f t="shared" ca="1" si="5"/>
        <v/>
      </c>
    </row>
    <row r="378" spans="2:2" thickTop="1" thickBot="1">
      <c r="B378" s="8" t="str">
        <f t="shared" ca="1" si="5"/>
        <v/>
      </c>
    </row>
    <row r="379" spans="2:2" thickTop="1" thickBot="1">
      <c r="B379" s="8" t="str">
        <f t="shared" ca="1" si="5"/>
        <v/>
      </c>
    </row>
    <row r="380" spans="2:2" thickTop="1" thickBot="1">
      <c r="B380" s="8" t="str">
        <f t="shared" ca="1" si="5"/>
        <v/>
      </c>
    </row>
    <row r="381" spans="2:2" thickTop="1" thickBot="1">
      <c r="B381" s="8" t="str">
        <f t="shared" ca="1" si="5"/>
        <v/>
      </c>
    </row>
    <row r="382" spans="2:2" thickTop="1" thickBot="1">
      <c r="B382" s="8" t="str">
        <f t="shared" ca="1" si="5"/>
        <v/>
      </c>
    </row>
    <row r="383" spans="2:2" thickTop="1" thickBot="1">
      <c r="B383" s="8" t="str">
        <f t="shared" ca="1" si="5"/>
        <v/>
      </c>
    </row>
    <row r="384" spans="2:2" thickTop="1" thickBot="1">
      <c r="B384" s="8" t="str">
        <f t="shared" ca="1" si="5"/>
        <v/>
      </c>
    </row>
    <row r="385" spans="2:2" thickTop="1" thickBot="1">
      <c r="B385" s="8" t="str">
        <f t="shared" ca="1" si="5"/>
        <v/>
      </c>
    </row>
    <row r="386" spans="2:2" thickTop="1" thickBot="1">
      <c r="B386" s="8" t="str">
        <f t="shared" ca="1" si="5"/>
        <v/>
      </c>
    </row>
    <row r="387" spans="2:2" thickTop="1" thickBot="1">
      <c r="B387" s="8" t="str">
        <f t="shared" ref="B387:B450" ca="1" si="6">IF(A387&lt;&gt;"",TODAY(),"")</f>
        <v/>
      </c>
    </row>
    <row r="388" spans="2:2" thickTop="1" thickBot="1">
      <c r="B388" s="8" t="str">
        <f t="shared" ca="1" si="6"/>
        <v/>
      </c>
    </row>
    <row r="389" spans="2:2" thickTop="1" thickBot="1">
      <c r="B389" s="8" t="str">
        <f t="shared" ca="1" si="6"/>
        <v/>
      </c>
    </row>
    <row r="390" spans="2:2" thickTop="1" thickBot="1">
      <c r="B390" s="8" t="str">
        <f t="shared" ca="1" si="6"/>
        <v/>
      </c>
    </row>
    <row r="391" spans="2:2" thickTop="1" thickBot="1">
      <c r="B391" s="8" t="str">
        <f t="shared" ca="1" si="6"/>
        <v/>
      </c>
    </row>
    <row r="392" spans="2:2" thickTop="1" thickBot="1">
      <c r="B392" s="8" t="str">
        <f t="shared" ca="1" si="6"/>
        <v/>
      </c>
    </row>
    <row r="393" spans="2:2" thickTop="1" thickBot="1">
      <c r="B393" s="8" t="str">
        <f t="shared" ca="1" si="6"/>
        <v/>
      </c>
    </row>
    <row r="394" spans="2:2" thickTop="1" thickBot="1">
      <c r="B394" s="8" t="str">
        <f t="shared" ca="1" si="6"/>
        <v/>
      </c>
    </row>
    <row r="395" spans="2:2" thickTop="1" thickBot="1">
      <c r="B395" s="8" t="str">
        <f t="shared" ca="1" si="6"/>
        <v/>
      </c>
    </row>
    <row r="396" spans="2:2" thickTop="1" thickBot="1">
      <c r="B396" s="8" t="str">
        <f t="shared" ca="1" si="6"/>
        <v/>
      </c>
    </row>
    <row r="397" spans="2:2" thickTop="1" thickBot="1">
      <c r="B397" s="8" t="str">
        <f t="shared" ca="1" si="6"/>
        <v/>
      </c>
    </row>
    <row r="398" spans="2:2" thickTop="1" thickBot="1">
      <c r="B398" s="8" t="str">
        <f t="shared" ca="1" si="6"/>
        <v/>
      </c>
    </row>
    <row r="399" spans="2:2" thickTop="1" thickBot="1">
      <c r="B399" s="8" t="str">
        <f t="shared" ca="1" si="6"/>
        <v/>
      </c>
    </row>
    <row r="400" spans="2:2" thickTop="1" thickBot="1">
      <c r="B400" s="8" t="str">
        <f t="shared" ca="1" si="6"/>
        <v/>
      </c>
    </row>
    <row r="401" spans="2:2" thickTop="1" thickBot="1">
      <c r="B401" s="8" t="str">
        <f t="shared" ca="1" si="6"/>
        <v/>
      </c>
    </row>
    <row r="402" spans="2:2" thickTop="1" thickBot="1">
      <c r="B402" s="8" t="str">
        <f t="shared" ca="1" si="6"/>
        <v/>
      </c>
    </row>
    <row r="403" spans="2:2" thickTop="1" thickBot="1">
      <c r="B403" s="8" t="str">
        <f t="shared" ca="1" si="6"/>
        <v/>
      </c>
    </row>
    <row r="404" spans="2:2" thickTop="1" thickBot="1">
      <c r="B404" s="8" t="str">
        <f t="shared" ca="1" si="6"/>
        <v/>
      </c>
    </row>
    <row r="405" spans="2:2" thickTop="1" thickBot="1">
      <c r="B405" s="8" t="str">
        <f t="shared" ca="1" si="6"/>
        <v/>
      </c>
    </row>
    <row r="406" spans="2:2" thickTop="1" thickBot="1">
      <c r="B406" s="8" t="str">
        <f t="shared" ca="1" si="6"/>
        <v/>
      </c>
    </row>
    <row r="407" spans="2:2" thickTop="1" thickBot="1">
      <c r="B407" s="8" t="str">
        <f t="shared" ca="1" si="6"/>
        <v/>
      </c>
    </row>
    <row r="408" spans="2:2" thickTop="1" thickBot="1">
      <c r="B408" s="8" t="str">
        <f t="shared" ca="1" si="6"/>
        <v/>
      </c>
    </row>
    <row r="409" spans="2:2" thickTop="1" thickBot="1">
      <c r="B409" s="8" t="str">
        <f t="shared" ca="1" si="6"/>
        <v/>
      </c>
    </row>
    <row r="410" spans="2:2" thickTop="1" thickBot="1">
      <c r="B410" s="8" t="str">
        <f t="shared" ca="1" si="6"/>
        <v/>
      </c>
    </row>
    <row r="411" spans="2:2" thickTop="1" thickBot="1">
      <c r="B411" s="8" t="str">
        <f t="shared" ca="1" si="6"/>
        <v/>
      </c>
    </row>
    <row r="412" spans="2:2" thickTop="1" thickBot="1">
      <c r="B412" s="8" t="str">
        <f t="shared" ca="1" si="6"/>
        <v/>
      </c>
    </row>
    <row r="413" spans="2:2" thickTop="1" thickBot="1">
      <c r="B413" s="8" t="str">
        <f t="shared" ca="1" si="6"/>
        <v/>
      </c>
    </row>
    <row r="414" spans="2:2" thickTop="1" thickBot="1">
      <c r="B414" s="8" t="str">
        <f t="shared" ca="1" si="6"/>
        <v/>
      </c>
    </row>
    <row r="415" spans="2:2" thickTop="1" thickBot="1">
      <c r="B415" s="8" t="str">
        <f t="shared" ca="1" si="6"/>
        <v/>
      </c>
    </row>
    <row r="416" spans="2:2" thickTop="1" thickBot="1">
      <c r="B416" s="8" t="str">
        <f t="shared" ca="1" si="6"/>
        <v/>
      </c>
    </row>
    <row r="417" spans="2:2" thickTop="1" thickBot="1">
      <c r="B417" s="8" t="str">
        <f t="shared" ca="1" si="6"/>
        <v/>
      </c>
    </row>
    <row r="418" spans="2:2" thickTop="1" thickBot="1">
      <c r="B418" s="8" t="str">
        <f t="shared" ca="1" si="6"/>
        <v/>
      </c>
    </row>
    <row r="419" spans="2:2" thickTop="1" thickBot="1">
      <c r="B419" s="8" t="str">
        <f t="shared" ca="1" si="6"/>
        <v/>
      </c>
    </row>
    <row r="420" spans="2:2" thickTop="1" thickBot="1">
      <c r="B420" s="8" t="str">
        <f t="shared" ca="1" si="6"/>
        <v/>
      </c>
    </row>
    <row r="421" spans="2:2" thickTop="1" thickBot="1">
      <c r="B421" s="8" t="str">
        <f t="shared" ca="1" si="6"/>
        <v/>
      </c>
    </row>
    <row r="422" spans="2:2" thickTop="1" thickBot="1">
      <c r="B422" s="8" t="str">
        <f t="shared" ca="1" si="6"/>
        <v/>
      </c>
    </row>
    <row r="423" spans="2:2" thickTop="1" thickBot="1">
      <c r="B423" s="8" t="str">
        <f t="shared" ca="1" si="6"/>
        <v/>
      </c>
    </row>
    <row r="424" spans="2:2" thickTop="1" thickBot="1">
      <c r="B424" s="8" t="str">
        <f t="shared" ca="1" si="6"/>
        <v/>
      </c>
    </row>
    <row r="425" spans="2:2" thickTop="1" thickBot="1">
      <c r="B425" s="8" t="str">
        <f t="shared" ca="1" si="6"/>
        <v/>
      </c>
    </row>
    <row r="426" spans="2:2" thickTop="1" thickBot="1">
      <c r="B426" s="8" t="str">
        <f t="shared" ca="1" si="6"/>
        <v/>
      </c>
    </row>
    <row r="427" spans="2:2" thickTop="1" thickBot="1">
      <c r="B427" s="8" t="str">
        <f t="shared" ca="1" si="6"/>
        <v/>
      </c>
    </row>
    <row r="428" spans="2:2" thickTop="1" thickBot="1">
      <c r="B428" s="8" t="str">
        <f t="shared" ca="1" si="6"/>
        <v/>
      </c>
    </row>
    <row r="429" spans="2:2" thickTop="1" thickBot="1">
      <c r="B429" s="8" t="str">
        <f t="shared" ca="1" si="6"/>
        <v/>
      </c>
    </row>
    <row r="430" spans="2:2" thickTop="1" thickBot="1">
      <c r="B430" s="8" t="str">
        <f t="shared" ca="1" si="6"/>
        <v/>
      </c>
    </row>
    <row r="431" spans="2:2" thickTop="1" thickBot="1">
      <c r="B431" s="8" t="str">
        <f t="shared" ca="1" si="6"/>
        <v/>
      </c>
    </row>
    <row r="432" spans="2:2" thickTop="1" thickBot="1">
      <c r="B432" s="8" t="str">
        <f t="shared" ca="1" si="6"/>
        <v/>
      </c>
    </row>
    <row r="433" spans="2:2" thickTop="1" thickBot="1">
      <c r="B433" s="8" t="str">
        <f t="shared" ca="1" si="6"/>
        <v/>
      </c>
    </row>
    <row r="434" spans="2:2" thickTop="1" thickBot="1">
      <c r="B434" s="8" t="str">
        <f t="shared" ca="1" si="6"/>
        <v/>
      </c>
    </row>
    <row r="435" spans="2:2" thickTop="1" thickBot="1">
      <c r="B435" s="8" t="str">
        <f t="shared" ca="1" si="6"/>
        <v/>
      </c>
    </row>
    <row r="436" spans="2:2" thickTop="1" thickBot="1">
      <c r="B436" s="8" t="str">
        <f t="shared" ca="1" si="6"/>
        <v/>
      </c>
    </row>
    <row r="437" spans="2:2" thickTop="1" thickBot="1">
      <c r="B437" s="8" t="str">
        <f t="shared" ca="1" si="6"/>
        <v/>
      </c>
    </row>
    <row r="438" spans="2:2" thickTop="1" thickBot="1">
      <c r="B438" s="8" t="str">
        <f t="shared" ca="1" si="6"/>
        <v/>
      </c>
    </row>
    <row r="439" spans="2:2" thickTop="1" thickBot="1">
      <c r="B439" s="8" t="str">
        <f t="shared" ca="1" si="6"/>
        <v/>
      </c>
    </row>
    <row r="440" spans="2:2" thickTop="1" thickBot="1">
      <c r="B440" s="8" t="str">
        <f t="shared" ca="1" si="6"/>
        <v/>
      </c>
    </row>
    <row r="441" spans="2:2" thickTop="1" thickBot="1">
      <c r="B441" s="8" t="str">
        <f t="shared" ca="1" si="6"/>
        <v/>
      </c>
    </row>
    <row r="442" spans="2:2" thickTop="1" thickBot="1">
      <c r="B442" s="8" t="str">
        <f t="shared" ca="1" si="6"/>
        <v/>
      </c>
    </row>
    <row r="443" spans="2:2" thickTop="1" thickBot="1">
      <c r="B443" s="8" t="str">
        <f t="shared" ca="1" si="6"/>
        <v/>
      </c>
    </row>
    <row r="444" spans="2:2" thickTop="1" thickBot="1">
      <c r="B444" s="8" t="str">
        <f t="shared" ca="1" si="6"/>
        <v/>
      </c>
    </row>
    <row r="445" spans="2:2" thickTop="1" thickBot="1">
      <c r="B445" s="8" t="str">
        <f t="shared" ca="1" si="6"/>
        <v/>
      </c>
    </row>
    <row r="446" spans="2:2" thickTop="1" thickBot="1">
      <c r="B446" s="8" t="str">
        <f t="shared" ca="1" si="6"/>
        <v/>
      </c>
    </row>
    <row r="447" spans="2:2" thickTop="1" thickBot="1">
      <c r="B447" s="8" t="str">
        <f t="shared" ca="1" si="6"/>
        <v/>
      </c>
    </row>
    <row r="448" spans="2:2" thickTop="1" thickBot="1">
      <c r="B448" s="8" t="str">
        <f t="shared" ca="1" si="6"/>
        <v/>
      </c>
    </row>
    <row r="449" spans="2:2" thickTop="1" thickBot="1">
      <c r="B449" s="8" t="str">
        <f t="shared" ca="1" si="6"/>
        <v/>
      </c>
    </row>
    <row r="450" spans="2:2" thickTop="1" thickBot="1">
      <c r="B450" s="8" t="str">
        <f t="shared" ca="1" si="6"/>
        <v/>
      </c>
    </row>
    <row r="451" spans="2:2" thickTop="1" thickBot="1">
      <c r="B451" s="8" t="str">
        <f t="shared" ref="B451:B475" ca="1" si="7">IF(A451&lt;&gt;"",TODAY(),"")</f>
        <v/>
      </c>
    </row>
    <row r="452" spans="2:2" thickTop="1" thickBot="1">
      <c r="B452" s="8" t="str">
        <f t="shared" ca="1" si="7"/>
        <v/>
      </c>
    </row>
    <row r="453" spans="2:2" thickTop="1" thickBot="1">
      <c r="B453" s="8" t="str">
        <f t="shared" ca="1" si="7"/>
        <v/>
      </c>
    </row>
    <row r="454" spans="2:2" thickTop="1" thickBot="1">
      <c r="B454" s="8" t="str">
        <f t="shared" ca="1" si="7"/>
        <v/>
      </c>
    </row>
    <row r="455" spans="2:2" thickTop="1" thickBot="1">
      <c r="B455" s="8" t="str">
        <f t="shared" ca="1" si="7"/>
        <v/>
      </c>
    </row>
    <row r="456" spans="2:2" thickTop="1" thickBot="1">
      <c r="B456" s="8" t="str">
        <f t="shared" ca="1" si="7"/>
        <v/>
      </c>
    </row>
    <row r="457" spans="2:2" thickTop="1" thickBot="1">
      <c r="B457" s="8" t="str">
        <f t="shared" ca="1" si="7"/>
        <v/>
      </c>
    </row>
    <row r="458" spans="2:2" thickTop="1" thickBot="1">
      <c r="B458" s="8" t="str">
        <f t="shared" ca="1" si="7"/>
        <v/>
      </c>
    </row>
    <row r="459" spans="2:2" thickTop="1" thickBot="1">
      <c r="B459" s="8" t="str">
        <f t="shared" ca="1" si="7"/>
        <v/>
      </c>
    </row>
    <row r="460" spans="2:2" thickTop="1" thickBot="1">
      <c r="B460" s="8" t="str">
        <f t="shared" ca="1" si="7"/>
        <v/>
      </c>
    </row>
    <row r="461" spans="2:2" thickTop="1" thickBot="1">
      <c r="B461" s="8" t="str">
        <f t="shared" ca="1" si="7"/>
        <v/>
      </c>
    </row>
    <row r="462" spans="2:2" thickTop="1" thickBot="1">
      <c r="B462" s="8" t="str">
        <f t="shared" ca="1" si="7"/>
        <v/>
      </c>
    </row>
    <row r="463" spans="2:2" thickTop="1" thickBot="1">
      <c r="B463" s="8" t="str">
        <f t="shared" ca="1" si="7"/>
        <v/>
      </c>
    </row>
    <row r="464" spans="2:2" thickTop="1" thickBot="1">
      <c r="B464" s="8" t="str">
        <f t="shared" ca="1" si="7"/>
        <v/>
      </c>
    </row>
    <row r="465" spans="2:2" thickTop="1" thickBot="1">
      <c r="B465" s="8" t="str">
        <f t="shared" ca="1" si="7"/>
        <v/>
      </c>
    </row>
    <row r="466" spans="2:2" thickTop="1" thickBot="1">
      <c r="B466" s="8" t="str">
        <f t="shared" ca="1" si="7"/>
        <v/>
      </c>
    </row>
    <row r="467" spans="2:2" thickTop="1" thickBot="1">
      <c r="B467" s="8" t="str">
        <f t="shared" ca="1" si="7"/>
        <v/>
      </c>
    </row>
    <row r="468" spans="2:2" thickTop="1" thickBot="1">
      <c r="B468" s="8" t="str">
        <f t="shared" ca="1" si="7"/>
        <v/>
      </c>
    </row>
    <row r="469" spans="2:2" thickTop="1" thickBot="1">
      <c r="B469" s="8" t="str">
        <f t="shared" ca="1" si="7"/>
        <v/>
      </c>
    </row>
    <row r="470" spans="2:2" thickTop="1" thickBot="1">
      <c r="B470" s="8" t="str">
        <f t="shared" ca="1" si="7"/>
        <v/>
      </c>
    </row>
    <row r="471" spans="2:2" thickTop="1" thickBot="1">
      <c r="B471" s="8" t="str">
        <f t="shared" ca="1" si="7"/>
        <v/>
      </c>
    </row>
    <row r="472" spans="2:2" thickTop="1" thickBot="1">
      <c r="B472" s="8" t="str">
        <f t="shared" ca="1" si="7"/>
        <v/>
      </c>
    </row>
    <row r="473" spans="2:2" thickTop="1" thickBot="1">
      <c r="B473" s="8" t="str">
        <f t="shared" ca="1" si="7"/>
        <v/>
      </c>
    </row>
    <row r="474" spans="2:2" thickTop="1" thickBot="1">
      <c r="B474" s="8" t="str">
        <f t="shared" ca="1" si="7"/>
        <v/>
      </c>
    </row>
    <row r="475" spans="2:2" thickTop="1" thickBot="1">
      <c r="B475" s="8" t="str">
        <f t="shared" ca="1" si="7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csvratings</vt:lpstr>
      <vt:lpstr>releases</vt:lpstr>
      <vt:lpstr>queue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Dowells Mike</cp:lastModifiedBy>
  <dcterms:created xsi:type="dcterms:W3CDTF">2024-03-19T23:22:33Z</dcterms:created>
  <dcterms:modified xsi:type="dcterms:W3CDTF">2025-02-15T16:22:45Z</dcterms:modified>
</cp:coreProperties>
</file>